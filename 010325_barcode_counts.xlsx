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nchaoqian/Desktop/"/>
    </mc:Choice>
  </mc:AlternateContent>
  <xr:revisionPtr revIDLastSave="0" documentId="13_ncr:1_{49E525B4-8581-944A-A6A0-F8F8A20892F6}" xr6:coauthVersionLast="47" xr6:coauthVersionMax="47" xr10:uidLastSave="{00000000-0000-0000-0000-000000000000}"/>
  <bookViews>
    <workbookView xWindow="380" yWindow="500" windowWidth="14920" windowHeight="16280" xr2:uid="{AF97C019-8B75-494B-B587-720C69E76B62}"/>
  </bookViews>
  <sheets>
    <sheet name="DemultiplexingStats" sheetId="1" r:id="rId1"/>
  </sheets>
  <calcPr calcId="0"/>
</workbook>
</file>

<file path=xl/calcChain.xml><?xml version="1.0" encoding="utf-8"?>
<calcChain xmlns="http://schemas.openxmlformats.org/spreadsheetml/2006/main">
  <c r="N21" i="1" l="1"/>
  <c r="M21" i="1"/>
  <c r="L21" i="1"/>
  <c r="L22" i="1"/>
  <c r="L20" i="1"/>
  <c r="L19" i="1"/>
  <c r="K23" i="1"/>
  <c r="C27" i="1"/>
  <c r="C427" i="1"/>
  <c r="C419" i="1"/>
  <c r="C411" i="1"/>
  <c r="C403" i="1"/>
  <c r="C395" i="1"/>
  <c r="C387" i="1"/>
  <c r="C379" i="1"/>
  <c r="C371" i="1"/>
  <c r="C363" i="1"/>
  <c r="C355" i="1"/>
  <c r="C347" i="1"/>
  <c r="C339" i="1"/>
  <c r="C331" i="1"/>
  <c r="C323" i="1"/>
  <c r="C315" i="1"/>
  <c r="C307" i="1"/>
  <c r="C299" i="1"/>
  <c r="C291" i="1"/>
  <c r="C283" i="1"/>
  <c r="C275" i="1"/>
  <c r="C267" i="1"/>
  <c r="C259" i="1"/>
  <c r="C251" i="1"/>
  <c r="C243" i="1"/>
  <c r="C235" i="1"/>
  <c r="C227" i="1"/>
  <c r="C219" i="1"/>
  <c r="C211" i="1"/>
  <c r="C203" i="1"/>
  <c r="C195" i="1"/>
  <c r="C187" i="1"/>
  <c r="C179" i="1"/>
  <c r="C171" i="1"/>
  <c r="C163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35" i="1"/>
  <c r="C19" i="1"/>
  <c r="C11" i="1"/>
  <c r="C3" i="1"/>
  <c r="G51" i="1" a="1"/>
  <c r="F42" i="1" a="1"/>
  <c r="F40" i="1" a="1"/>
  <c r="F38" i="1" a="1"/>
  <c r="F36" i="1" a="1"/>
  <c r="G26" i="1" a="1"/>
  <c r="G24" i="1" a="1"/>
  <c r="G22" i="1" a="1"/>
  <c r="G20" i="1" a="1"/>
  <c r="F9" i="1" a="1"/>
  <c r="F39" i="1" a="1"/>
  <c r="G21" i="1" a="1"/>
  <c r="G50" i="1" a="1"/>
  <c r="G44" i="1" a="1"/>
  <c r="F33" i="1" a="1"/>
  <c r="G15" i="1" a="1"/>
  <c r="G42" i="1" a="1"/>
  <c r="F46" i="1" a="1"/>
  <c r="G34" i="1" a="1"/>
  <c r="F15" i="1" a="1"/>
  <c r="G49" i="1" a="1"/>
  <c r="G47" i="1" a="1"/>
  <c r="G45" i="1" a="1"/>
  <c r="G43" i="1" a="1"/>
  <c r="F34" i="1" a="1"/>
  <c r="F32" i="1" a="1"/>
  <c r="F30" i="1" a="1"/>
  <c r="F28" i="1" a="1"/>
  <c r="G18" i="1" a="1"/>
  <c r="G16" i="1" a="1"/>
  <c r="G14" i="1" a="1"/>
  <c r="G12" i="1" a="1"/>
  <c r="G39" i="1" a="1"/>
  <c r="G35" i="1" a="1"/>
  <c r="F26" i="1" a="1"/>
  <c r="F22" i="1" a="1"/>
  <c r="F20" i="1" a="1"/>
  <c r="G10" i="1" a="1"/>
  <c r="F47" i="1" a="1"/>
  <c r="F43" i="1" a="1"/>
  <c r="G33" i="1" a="1"/>
  <c r="G29" i="1" a="1"/>
  <c r="F18" i="1" a="1"/>
  <c r="F12" i="1" a="1"/>
  <c r="F37" i="1" a="1"/>
  <c r="G25" i="1" a="1"/>
  <c r="F10" i="1" a="1"/>
  <c r="G48" i="1" a="1"/>
  <c r="F31" i="1" a="1"/>
  <c r="G17" i="1" a="1"/>
  <c r="G11" i="1" a="1"/>
  <c r="G38" i="1" a="1"/>
  <c r="F25" i="1" a="1"/>
  <c r="G9" i="1" a="1"/>
  <c r="F44" i="1" a="1"/>
  <c r="G28" i="1" a="1"/>
  <c r="F13" i="1" a="1"/>
  <c r="F51" i="1" a="1"/>
  <c r="G41" i="1" a="1"/>
  <c r="G37" i="1" a="1"/>
  <c r="F24" i="1" a="1"/>
  <c r="F49" i="1" a="1"/>
  <c r="F45" i="1" a="1"/>
  <c r="G31" i="1" a="1"/>
  <c r="G27" i="1" a="1"/>
  <c r="F16" i="1" a="1"/>
  <c r="F41" i="1" a="1"/>
  <c r="F35" i="1" a="1"/>
  <c r="G23" i="1" a="1"/>
  <c r="G19" i="1" a="1"/>
  <c r="G46" i="1" a="1"/>
  <c r="F27" i="1" a="1"/>
  <c r="G13" i="1" a="1"/>
  <c r="G36" i="1" a="1"/>
  <c r="F23" i="1" a="1"/>
  <c r="F48" i="1" a="1"/>
  <c r="G32" i="1" a="1"/>
  <c r="F14" i="1" a="1"/>
  <c r="F21" i="1" a="1"/>
  <c r="F50" i="1" a="1"/>
  <c r="F17" i="1" a="1"/>
  <c r="F29" i="1" a="1"/>
  <c r="G40" i="1" a="1"/>
  <c r="F19" i="1" a="1"/>
  <c r="G30" i="1" a="1"/>
  <c r="F11" i="1" a="1"/>
  <c r="F11" i="1" l="1"/>
  <c r="G30" i="1"/>
  <c r="F19" i="1"/>
  <c r="G40" i="1"/>
  <c r="F29" i="1"/>
  <c r="F17" i="1"/>
  <c r="F50" i="1"/>
  <c r="F21" i="1"/>
  <c r="F14" i="1"/>
  <c r="G32" i="1"/>
  <c r="F48" i="1"/>
  <c r="F23" i="1"/>
  <c r="G36" i="1"/>
  <c r="G13" i="1"/>
  <c r="F27" i="1"/>
  <c r="G46" i="1"/>
  <c r="G19" i="1"/>
  <c r="G23" i="1"/>
  <c r="F35" i="1"/>
  <c r="F41" i="1"/>
  <c r="F16" i="1"/>
  <c r="G27" i="1"/>
  <c r="G31" i="1"/>
  <c r="F45" i="1"/>
  <c r="F49" i="1"/>
  <c r="F24" i="1"/>
  <c r="G37" i="1"/>
  <c r="G41" i="1"/>
  <c r="F51" i="1"/>
  <c r="F13" i="1"/>
  <c r="G28" i="1"/>
  <c r="F44" i="1"/>
  <c r="G9" i="1"/>
  <c r="F25" i="1"/>
  <c r="G38" i="1"/>
  <c r="G11" i="1"/>
  <c r="G17" i="1"/>
  <c r="F31" i="1"/>
  <c r="G48" i="1"/>
  <c r="F10" i="1"/>
  <c r="G25" i="1"/>
  <c r="F37" i="1"/>
  <c r="F12" i="1"/>
  <c r="F18" i="1"/>
  <c r="G29" i="1"/>
  <c r="G33" i="1"/>
  <c r="F43" i="1"/>
  <c r="F47" i="1"/>
  <c r="G10" i="1"/>
  <c r="F20" i="1"/>
  <c r="F22" i="1"/>
  <c r="F26" i="1"/>
  <c r="G35" i="1"/>
  <c r="G39" i="1"/>
  <c r="G12" i="1"/>
  <c r="G14" i="1"/>
  <c r="G16" i="1"/>
  <c r="G18" i="1"/>
  <c r="F28" i="1"/>
  <c r="F30" i="1"/>
  <c r="F32" i="1"/>
  <c r="F34" i="1"/>
  <c r="G43" i="1"/>
  <c r="G45" i="1"/>
  <c r="G47" i="1"/>
  <c r="G49" i="1"/>
  <c r="F15" i="1"/>
  <c r="G34" i="1"/>
  <c r="F46" i="1"/>
  <c r="G42" i="1"/>
  <c r="G15" i="1"/>
  <c r="F33" i="1"/>
  <c r="G44" i="1"/>
  <c r="G50" i="1"/>
  <c r="G21" i="1"/>
  <c r="F39" i="1"/>
  <c r="F9" i="1"/>
  <c r="G20" i="1"/>
  <c r="G22" i="1"/>
  <c r="G24" i="1"/>
  <c r="G26" i="1"/>
  <c r="F36" i="1"/>
  <c r="F38" i="1"/>
  <c r="F40" i="1"/>
  <c r="F42" i="1"/>
  <c r="G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<sst xmlns="http://schemas.openxmlformats.org/spreadsheetml/2006/main" count="350" uniqueCount="45">
  <si>
    <t>/Flowcell/Project/Sample/@name</t>
  </si>
  <si>
    <t>/Flowcell/Project/Sample/Barcode/Lane/PerfectBarcodeCount/#agg</t>
  </si>
  <si>
    <t>Undetermined</t>
  </si>
  <si>
    <t>all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</si>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</sst>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27"/>
  <sheetViews>
    <sheetView tabSelected="1" topLeftCell="E1" workbookViewId="0">
      <selection activeCell="N22" sqref="N22"/>
    </sheetView>
  </sheetViews>
  <sheetFormatPr baseColWidth="10" defaultRowHeight="16" x14ac:dyDescent="0.2"/>
  <cols>
    <col min="1" max="1" width="29.5" bestFit="1" customWidth="1"/>
  </cols>
  <sheetData>
    <row r="2" spans="1:7" x14ac:dyDescent="0.2">
      <c r="A2" s="1" t="s">
        <v>0</v>
      </c>
      <c r="B2" s="1" t="s">
        <v>1</v>
      </c>
    </row>
    <row r="3" spans="1:7" x14ac:dyDescent="0.2">
      <c r="A3" t="s">
        <v>2</v>
      </c>
      <c r="B3">
        <v>23888730</v>
      </c>
      <c r="C3">
        <f>SUM(B3:B6)</f>
        <v>96525205</v>
      </c>
    </row>
    <row r="4" spans="1:7" x14ac:dyDescent="0.2">
      <c r="A4" t="s">
        <v>2</v>
      </c>
      <c r="B4">
        <v>24139536</v>
      </c>
    </row>
    <row r="5" spans="1:7" x14ac:dyDescent="0.2">
      <c r="A5" t="s">
        <v>2</v>
      </c>
      <c r="B5">
        <v>24257479</v>
      </c>
    </row>
    <row r="6" spans="1:7" x14ac:dyDescent="0.2">
      <c r="A6" t="s">
        <v>2</v>
      </c>
      <c r="B6">
        <v>24239460</v>
      </c>
    </row>
    <row r="7" spans="1:7" x14ac:dyDescent="0.2">
      <c r="A7" t="s">
        <v>2</v>
      </c>
      <c r="B7">
        <v>23888730</v>
      </c>
    </row>
    <row r="8" spans="1:7" x14ac:dyDescent="0.2">
      <c r="A8" t="s">
        <v>2</v>
      </c>
      <c r="B8">
        <v>24139536</v>
      </c>
    </row>
    <row r="9" spans="1:7" x14ac:dyDescent="0.2">
      <c r="A9" t="s">
        <v>2</v>
      </c>
      <c r="B9">
        <v>24257479</v>
      </c>
      <c r="F9" t="str" cm="1">
        <f t="array" aca="1" ref="F9" ca="1">INDIRECT("A" &amp; (ROW() -9) * 8 + 9)</f>
        <v>Undetermined</v>
      </c>
      <c r="G9" cm="1">
        <f t="array" aca="1" ref="G9" ca="1">INDIRECT("C" &amp; (ROW() -9) * 8 + 3)</f>
        <v>96525205</v>
      </c>
    </row>
    <row r="10" spans="1:7" x14ac:dyDescent="0.2">
      <c r="A10" t="s">
        <v>2</v>
      </c>
      <c r="B10">
        <v>24239460</v>
      </c>
      <c r="F10" t="str" cm="1">
        <f t="array" aca="1" ref="F10" ca="1">INDIRECT("A" &amp; (ROW() -9) * 8 + 9)</f>
        <v>i1</v>
      </c>
      <c r="G10" cm="1">
        <f t="array" aca="1" ref="G10" ca="1">INDIRECT("C" &amp; (ROW() -9) * 8 + 3)</f>
        <v>284</v>
      </c>
    </row>
    <row r="11" spans="1:7" x14ac:dyDescent="0.2">
      <c r="A11" t="s">
        <v>4</v>
      </c>
      <c r="B11">
        <v>55</v>
      </c>
      <c r="C11">
        <f>SUM(B11:B14)</f>
        <v>284</v>
      </c>
      <c r="F11" t="str" cm="1">
        <f t="array" aca="1" ref="F11" ca="1">INDIRECT("A" &amp; (ROW() -9) * 8 + 9)</f>
        <v>i2</v>
      </c>
      <c r="G11" cm="1">
        <f t="array" aca="1" ref="G11" ca="1">INDIRECT("C" &amp; (ROW() -9) * 8 + 3)</f>
        <v>7</v>
      </c>
    </row>
    <row r="12" spans="1:7" x14ac:dyDescent="0.2">
      <c r="A12" t="s">
        <v>4</v>
      </c>
      <c r="B12">
        <v>77</v>
      </c>
      <c r="F12" t="str" cm="1">
        <f t="array" aca="1" ref="F12" ca="1">INDIRECT("A" &amp; (ROW() -9) * 8 + 9)</f>
        <v>i3</v>
      </c>
      <c r="G12" cm="1">
        <f t="array" aca="1" ref="G12" ca="1">INDIRECT("C" &amp; (ROW() -9) * 8 + 3)</f>
        <v>134872541</v>
      </c>
    </row>
    <row r="13" spans="1:7" x14ac:dyDescent="0.2">
      <c r="A13" t="s">
        <v>4</v>
      </c>
      <c r="B13">
        <v>66</v>
      </c>
      <c r="F13" t="str" cm="1">
        <f t="array" aca="1" ref="F13" ca="1">INDIRECT("A" &amp; (ROW() -9) * 8 + 9)</f>
        <v>i4</v>
      </c>
      <c r="G13" cm="1">
        <f t="array" aca="1" ref="G13" ca="1">INDIRECT("C" &amp; (ROW() -9) * 8 + 3)</f>
        <v>368</v>
      </c>
    </row>
    <row r="14" spans="1:7" x14ac:dyDescent="0.2">
      <c r="A14" t="s">
        <v>4</v>
      </c>
      <c r="B14">
        <v>86</v>
      </c>
      <c r="F14" t="str" cm="1">
        <f t="array" aca="1" ref="F14" ca="1">INDIRECT("A" &amp; (ROW() -9) * 8 + 9)</f>
        <v>i5</v>
      </c>
      <c r="G14" cm="1">
        <f t="array" aca="1" ref="G14" ca="1">INDIRECT("C" &amp; (ROW() -9) * 8 + 3)</f>
        <v>106</v>
      </c>
    </row>
    <row r="15" spans="1:7" x14ac:dyDescent="0.2">
      <c r="A15" t="s">
        <v>4</v>
      </c>
      <c r="B15">
        <v>55</v>
      </c>
      <c r="F15" t="str" cm="1">
        <f t="array" aca="1" ref="F15" ca="1">INDIRECT("A" &amp; (ROW() -9) * 8 + 9)</f>
        <v>i6</v>
      </c>
      <c r="G15" cm="1">
        <f t="array" aca="1" ref="G15" ca="1">INDIRECT("C" &amp; (ROW() -9) * 8 + 3)</f>
        <v>300</v>
      </c>
    </row>
    <row r="16" spans="1:7" x14ac:dyDescent="0.2">
      <c r="A16" t="s">
        <v>4</v>
      </c>
      <c r="B16">
        <v>77</v>
      </c>
      <c r="F16" t="str" cm="1">
        <f t="array" aca="1" ref="F16" ca="1">INDIRECT("A" &amp; (ROW() -9) * 8 + 9)</f>
        <v>i7</v>
      </c>
      <c r="G16" cm="1">
        <f t="array" aca="1" ref="G16" ca="1">INDIRECT("C" &amp; (ROW() -9) * 8 + 3)</f>
        <v>764</v>
      </c>
    </row>
    <row r="17" spans="1:14" x14ac:dyDescent="0.2">
      <c r="A17" t="s">
        <v>4</v>
      </c>
      <c r="B17">
        <v>66</v>
      </c>
      <c r="F17" t="str" cm="1">
        <f t="array" aca="1" ref="F17" ca="1">INDIRECT("A" &amp; (ROW() -9) * 8 + 9)</f>
        <v>i8</v>
      </c>
      <c r="G17" cm="1">
        <f t="array" aca="1" ref="G17" ca="1">INDIRECT("C" &amp; (ROW() -9) * 8 + 3)</f>
        <v>387</v>
      </c>
    </row>
    <row r="18" spans="1:14" x14ac:dyDescent="0.2">
      <c r="A18" t="s">
        <v>4</v>
      </c>
      <c r="B18">
        <v>86</v>
      </c>
      <c r="F18" t="str" cm="1">
        <f t="array" aca="1" ref="F18" ca="1">INDIRECT("A" &amp; (ROW() -9) * 8 + 9)</f>
        <v>i9</v>
      </c>
      <c r="G18" cm="1">
        <f t="array" aca="1" ref="G18" ca="1">INDIRECT("C" &amp; (ROW() -9) * 8 + 3)</f>
        <v>7</v>
      </c>
    </row>
    <row r="19" spans="1:14" x14ac:dyDescent="0.2">
      <c r="A19" t="s">
        <v>5</v>
      </c>
      <c r="B19">
        <v>3</v>
      </c>
      <c r="C19">
        <f>SUM(B19:B22)</f>
        <v>7</v>
      </c>
      <c r="F19" t="str" cm="1">
        <f t="array" aca="1" ref="F19" ca="1">INDIRECT("A" &amp; (ROW() -9) * 8 + 9)</f>
        <v>i10</v>
      </c>
      <c r="G19" cm="1">
        <f t="array" aca="1" ref="G19" ca="1">INDIRECT("C" &amp; (ROW() -9) * 8 + 3)</f>
        <v>63</v>
      </c>
      <c r="J19" t="s">
        <v>2</v>
      </c>
      <c r="K19">
        <v>96525205</v>
      </c>
      <c r="L19">
        <f>K19/$K$23</f>
        <v>0.2165447350590384</v>
      </c>
    </row>
    <row r="20" spans="1:14" x14ac:dyDescent="0.2">
      <c r="A20" t="s">
        <v>5</v>
      </c>
      <c r="B20">
        <v>1</v>
      </c>
      <c r="F20" t="str" cm="1">
        <f t="array" aca="1" ref="F20" ca="1">INDIRECT("A" &amp; (ROW() -9) * 8 + 9)</f>
        <v>i11</v>
      </c>
      <c r="G20" cm="1">
        <f t="array" aca="1" ref="G20" ca="1">INDIRECT("C" &amp; (ROW() -9) * 8 + 3)</f>
        <v>997</v>
      </c>
      <c r="J20" t="s">
        <v>6</v>
      </c>
      <c r="K20">
        <v>134872541</v>
      </c>
      <c r="L20">
        <f t="shared" ref="L20:L22" si="0">K20/$K$23</f>
        <v>0.30257318446082859</v>
      </c>
    </row>
    <row r="21" spans="1:14" x14ac:dyDescent="0.2">
      <c r="A21" t="s">
        <v>5</v>
      </c>
      <c r="F21" t="str" cm="1">
        <f t="array" aca="1" ref="F21" ca="1">INDIRECT("A" &amp; (ROW() -9) * 8 + 9)</f>
        <v>i12</v>
      </c>
      <c r="G21" cm="1">
        <f t="array" aca="1" ref="G21" ca="1">INDIRECT("C" &amp; (ROW() -9) * 8 + 3)</f>
        <v>20</v>
      </c>
      <c r="J21" t="s">
        <v>24</v>
      </c>
      <c r="K21">
        <v>114504846</v>
      </c>
      <c r="L21">
        <f>K21/$K$23</f>
        <v>0.25688027847281952</v>
      </c>
      <c r="M21">
        <f>SUM(K21:K22)</f>
        <v>214354052</v>
      </c>
      <c r="N21">
        <f>SUM(L21:L22)</f>
        <v>0.48088208048013303</v>
      </c>
    </row>
    <row r="22" spans="1:14" x14ac:dyDescent="0.2">
      <c r="A22" t="s">
        <v>5</v>
      </c>
      <c r="B22">
        <v>3</v>
      </c>
      <c r="F22" t="str" cm="1">
        <f t="array" aca="1" ref="F22" ca="1">INDIRECT("A" &amp; (ROW() -9) * 8 + 9)</f>
        <v>i13</v>
      </c>
      <c r="G22" cm="1">
        <f t="array" aca="1" ref="G22" ca="1">INDIRECT("C" &amp; (ROW() -9) * 8 + 3)</f>
        <v>1467</v>
      </c>
      <c r="J22" t="s">
        <v>25</v>
      </c>
      <c r="K22">
        <v>99849206</v>
      </c>
      <c r="L22">
        <f>K22/$K$23</f>
        <v>0.22400180200731348</v>
      </c>
    </row>
    <row r="23" spans="1:14" x14ac:dyDescent="0.2">
      <c r="A23" t="s">
        <v>5</v>
      </c>
      <c r="B23">
        <v>3</v>
      </c>
      <c r="F23" t="str" cm="1">
        <f t="array" aca="1" ref="F23" ca="1">INDIRECT("A" &amp; (ROW() -9) * 8 + 9)</f>
        <v>i14</v>
      </c>
      <c r="G23" cm="1">
        <f t="array" aca="1" ref="G23" ca="1">INDIRECT("C" &amp; (ROW() -9) * 8 + 3)</f>
        <v>344</v>
      </c>
      <c r="K23">
        <f>SUM(K19:K22)</f>
        <v>445751798</v>
      </c>
    </row>
    <row r="24" spans="1:14" x14ac:dyDescent="0.2">
      <c r="A24" t="s">
        <v>5</v>
      </c>
      <c r="B24">
        <v>1</v>
      </c>
      <c r="F24" t="str" cm="1">
        <f t="array" aca="1" ref="F24" ca="1">INDIRECT("A" &amp; (ROW() -9) * 8 + 9)</f>
        <v>i15</v>
      </c>
      <c r="G24" cm="1">
        <f t="array" aca="1" ref="G24" ca="1">INDIRECT("C" &amp; (ROW() -9) * 8 + 3)</f>
        <v>18</v>
      </c>
    </row>
    <row r="25" spans="1:14" x14ac:dyDescent="0.2">
      <c r="A25" t="s">
        <v>5</v>
      </c>
      <c r="F25" t="str" cm="1">
        <f t="array" aca="1" ref="F25" ca="1">INDIRECT("A" &amp; (ROW() -9) * 8 + 9)</f>
        <v>i16</v>
      </c>
      <c r="G25" cm="1">
        <f t="array" aca="1" ref="G25" ca="1">INDIRECT("C" &amp; (ROW() -9) * 8 + 3)</f>
        <v>11</v>
      </c>
    </row>
    <row r="26" spans="1:14" x14ac:dyDescent="0.2">
      <c r="A26" t="s">
        <v>5</v>
      </c>
      <c r="B26">
        <v>3</v>
      </c>
      <c r="F26" t="str" cm="1">
        <f t="array" aca="1" ref="F26" ca="1">INDIRECT("A" &amp; (ROW() -9) * 8 + 9)</f>
        <v>i17</v>
      </c>
      <c r="G26" cm="1">
        <f t="array" aca="1" ref="G26" ca="1">INDIRECT("C" &amp; (ROW() -9) * 8 + 3)</f>
        <v>31</v>
      </c>
    </row>
    <row r="27" spans="1:14" x14ac:dyDescent="0.2">
      <c r="A27" t="s">
        <v>6</v>
      </c>
      <c r="B27">
        <v>33805800</v>
      </c>
      <c r="C27">
        <f>SUM(B27:B30)</f>
        <v>134872541</v>
      </c>
      <c r="F27" t="str" cm="1">
        <f t="array" aca="1" ref="F27" ca="1">INDIRECT("A" &amp; (ROW() -9) * 8 + 9)</f>
        <v>i18</v>
      </c>
      <c r="G27" cm="1">
        <f t="array" aca="1" ref="G27" ca="1">INDIRECT("C" &amp; (ROW() -9) * 8 + 3)</f>
        <v>185</v>
      </c>
    </row>
    <row r="28" spans="1:14" x14ac:dyDescent="0.2">
      <c r="A28" t="s">
        <v>6</v>
      </c>
      <c r="B28">
        <v>33674643</v>
      </c>
      <c r="F28" t="str" cm="1">
        <f t="array" aca="1" ref="F28" ca="1">INDIRECT("A" &amp; (ROW() -9) * 8 + 9)</f>
        <v>i19</v>
      </c>
      <c r="G28" cm="1">
        <f t="array" aca="1" ref="G28" ca="1">INDIRECT("C" &amp; (ROW() -9) * 8 + 3)</f>
        <v>74</v>
      </c>
    </row>
    <row r="29" spans="1:14" x14ac:dyDescent="0.2">
      <c r="A29" t="s">
        <v>6</v>
      </c>
      <c r="B29">
        <v>33802098</v>
      </c>
      <c r="F29" t="str" cm="1">
        <f t="array" aca="1" ref="F29" ca="1">INDIRECT("A" &amp; (ROW() -9) * 8 + 9)</f>
        <v>i20</v>
      </c>
      <c r="G29" cm="1">
        <f t="array" aca="1" ref="G29" ca="1">INDIRECT("C" &amp; (ROW() -9) * 8 + 3)</f>
        <v>1233</v>
      </c>
    </row>
    <row r="30" spans="1:14" x14ac:dyDescent="0.2">
      <c r="A30" t="s">
        <v>6</v>
      </c>
      <c r="B30">
        <v>33590000</v>
      </c>
      <c r="F30" t="str" cm="1">
        <f t="array" aca="1" ref="F30" ca="1">INDIRECT("A" &amp; (ROW() -9) * 8 + 9)</f>
        <v>i21</v>
      </c>
      <c r="G30" cm="1">
        <f t="array" aca="1" ref="G30" ca="1">INDIRECT("C" &amp; (ROW() -9) * 8 + 3)</f>
        <v>114504846</v>
      </c>
    </row>
    <row r="31" spans="1:14" x14ac:dyDescent="0.2">
      <c r="A31" t="s">
        <v>6</v>
      </c>
      <c r="B31">
        <v>33805800</v>
      </c>
      <c r="F31" t="str" cm="1">
        <f t="array" aca="1" ref="F31" ca="1">INDIRECT("A" &amp; (ROW() -9) * 8 + 9)</f>
        <v>i22</v>
      </c>
      <c r="G31" cm="1">
        <f t="array" aca="1" ref="G31" ca="1">INDIRECT("C" &amp; (ROW() -9) * 8 + 3)</f>
        <v>99849206</v>
      </c>
    </row>
    <row r="32" spans="1:14" x14ac:dyDescent="0.2">
      <c r="A32" t="s">
        <v>6</v>
      </c>
      <c r="B32">
        <v>33674643</v>
      </c>
      <c r="F32" t="str" cm="1">
        <f t="array" aca="1" ref="F32" ca="1">INDIRECT("A" &amp; (ROW() -9) * 8 + 9)</f>
        <v>i23</v>
      </c>
      <c r="G32" cm="1">
        <f t="array" aca="1" ref="G32" ca="1">INDIRECT("C" &amp; (ROW() -9) * 8 + 3)</f>
        <v>654</v>
      </c>
    </row>
    <row r="33" spans="1:7" x14ac:dyDescent="0.2">
      <c r="A33" t="s">
        <v>6</v>
      </c>
      <c r="B33">
        <v>33802098</v>
      </c>
      <c r="F33" t="str" cm="1">
        <f t="array" aca="1" ref="F33" ca="1">INDIRECT("A" &amp; (ROW() -9) * 8 + 9)</f>
        <v>i24</v>
      </c>
      <c r="G33" cm="1">
        <f t="array" aca="1" ref="G33" ca="1">INDIRECT("C" &amp; (ROW() -9) * 8 + 3)</f>
        <v>732</v>
      </c>
    </row>
    <row r="34" spans="1:7" x14ac:dyDescent="0.2">
      <c r="A34" t="s">
        <v>6</v>
      </c>
      <c r="B34">
        <v>33590000</v>
      </c>
      <c r="F34" t="str" cm="1">
        <f t="array" aca="1" ref="F34" ca="1">INDIRECT("A" &amp; (ROW() -9) * 8 + 9)</f>
        <v>i25</v>
      </c>
      <c r="G34" cm="1">
        <f t="array" aca="1" ref="G34" ca="1">INDIRECT("C" &amp; (ROW() -9) * 8 + 3)</f>
        <v>196</v>
      </c>
    </row>
    <row r="35" spans="1:7" x14ac:dyDescent="0.2">
      <c r="A35" t="s">
        <v>7</v>
      </c>
      <c r="B35">
        <v>130</v>
      </c>
      <c r="C35">
        <f>SUM(B35:B38)</f>
        <v>368</v>
      </c>
      <c r="F35" t="str" cm="1">
        <f t="array" aca="1" ref="F35" ca="1">INDIRECT("A" &amp; (ROW() -9) * 8 + 9)</f>
        <v>i26</v>
      </c>
      <c r="G35" cm="1">
        <f t="array" aca="1" ref="G35" ca="1">INDIRECT("C" &amp; (ROW() -9) * 8 + 3)</f>
        <v>104</v>
      </c>
    </row>
    <row r="36" spans="1:7" x14ac:dyDescent="0.2">
      <c r="A36" t="s">
        <v>7</v>
      </c>
      <c r="B36">
        <v>49</v>
      </c>
      <c r="F36" t="str" cm="1">
        <f t="array" aca="1" ref="F36" ca="1">INDIRECT("A" &amp; (ROW() -9) * 8 + 9)</f>
        <v>i27</v>
      </c>
      <c r="G36" cm="1">
        <f t="array" aca="1" ref="G36" ca="1">INDIRECT("C" &amp; (ROW() -9) * 8 + 3)</f>
        <v>59</v>
      </c>
    </row>
    <row r="37" spans="1:7" x14ac:dyDescent="0.2">
      <c r="A37" t="s">
        <v>7</v>
      </c>
      <c r="B37">
        <v>124</v>
      </c>
      <c r="F37" t="str" cm="1">
        <f t="array" aca="1" ref="F37" ca="1">INDIRECT("A" &amp; (ROW() -9) * 8 + 9)</f>
        <v>i28</v>
      </c>
      <c r="G37" cm="1">
        <f t="array" aca="1" ref="G37" ca="1">INDIRECT("C" &amp; (ROW() -9) * 8 + 3)</f>
        <v>582</v>
      </c>
    </row>
    <row r="38" spans="1:7" x14ac:dyDescent="0.2">
      <c r="A38" t="s">
        <v>7</v>
      </c>
      <c r="B38">
        <v>65</v>
      </c>
      <c r="F38" t="str" cm="1">
        <f t="array" aca="1" ref="F38" ca="1">INDIRECT("A" &amp; (ROW() -9) * 8 + 9)</f>
        <v>i29</v>
      </c>
      <c r="G38" cm="1">
        <f t="array" aca="1" ref="G38" ca="1">INDIRECT("C" &amp; (ROW() -9) * 8 + 3)</f>
        <v>189</v>
      </c>
    </row>
    <row r="39" spans="1:7" x14ac:dyDescent="0.2">
      <c r="A39" t="s">
        <v>7</v>
      </c>
      <c r="B39">
        <v>130</v>
      </c>
      <c r="F39" t="str" cm="1">
        <f t="array" aca="1" ref="F39" ca="1">INDIRECT("A" &amp; (ROW() -9) * 8 + 9)</f>
        <v>i30</v>
      </c>
      <c r="G39" cm="1">
        <f t="array" aca="1" ref="G39" ca="1">INDIRECT("C" &amp; (ROW() -9) * 8 + 3)</f>
        <v>103</v>
      </c>
    </row>
    <row r="40" spans="1:7" x14ac:dyDescent="0.2">
      <c r="A40" t="s">
        <v>7</v>
      </c>
      <c r="B40">
        <v>49</v>
      </c>
      <c r="F40" t="str" cm="1">
        <f t="array" aca="1" ref="F40" ca="1">INDIRECT("A" &amp; (ROW() -9) * 8 + 9)</f>
        <v>i31</v>
      </c>
      <c r="G40" cm="1">
        <f t="array" aca="1" ref="G40" ca="1">INDIRECT("C" &amp; (ROW() -9) * 8 + 3)</f>
        <v>243</v>
      </c>
    </row>
    <row r="41" spans="1:7" x14ac:dyDescent="0.2">
      <c r="A41" t="s">
        <v>7</v>
      </c>
      <c r="B41">
        <v>124</v>
      </c>
      <c r="F41" t="str" cm="1">
        <f t="array" aca="1" ref="F41" ca="1">INDIRECT("A" &amp; (ROW() -9) * 8 + 9)</f>
        <v>i32</v>
      </c>
      <c r="G41" cm="1">
        <f t="array" aca="1" ref="G41" ca="1">INDIRECT("C" &amp; (ROW() -9) * 8 + 3)</f>
        <v>6</v>
      </c>
    </row>
    <row r="42" spans="1:7" x14ac:dyDescent="0.2">
      <c r="A42" t="s">
        <v>7</v>
      </c>
      <c r="B42">
        <v>65</v>
      </c>
      <c r="F42" t="str" cm="1">
        <f t="array" aca="1" ref="F42" ca="1">INDIRECT("A" &amp; (ROW() -9) * 8 + 9)</f>
        <v>i33</v>
      </c>
      <c r="G42" cm="1">
        <f t="array" aca="1" ref="G42" ca="1">INDIRECT("C" &amp; (ROW() -9) * 8 + 3)</f>
        <v>241</v>
      </c>
    </row>
    <row r="43" spans="1:7" x14ac:dyDescent="0.2">
      <c r="A43" t="s">
        <v>8</v>
      </c>
      <c r="B43">
        <v>26</v>
      </c>
      <c r="C43">
        <f>SUM(B43:B46)</f>
        <v>106</v>
      </c>
      <c r="F43" t="str" cm="1">
        <f t="array" aca="1" ref="F43" ca="1">INDIRECT("A" &amp; (ROW() -9) * 8 + 9)</f>
        <v>i34</v>
      </c>
      <c r="G43" cm="1">
        <f t="array" aca="1" ref="G43" ca="1">INDIRECT("C" &amp; (ROW() -9) * 8 + 3)</f>
        <v>6</v>
      </c>
    </row>
    <row r="44" spans="1:7" x14ac:dyDescent="0.2">
      <c r="A44" t="s">
        <v>8</v>
      </c>
      <c r="B44">
        <v>28</v>
      </c>
      <c r="F44" t="str" cm="1">
        <f t="array" aca="1" ref="F44" ca="1">INDIRECT("A" &amp; (ROW() -9) * 8 + 9)</f>
        <v>i35</v>
      </c>
      <c r="G44" cm="1">
        <f t="array" aca="1" ref="G44" ca="1">INDIRECT("C" &amp; (ROW() -9) * 8 + 3)</f>
        <v>40</v>
      </c>
    </row>
    <row r="45" spans="1:7" x14ac:dyDescent="0.2">
      <c r="A45" t="s">
        <v>8</v>
      </c>
      <c r="B45">
        <v>22</v>
      </c>
      <c r="F45" t="str" cm="1">
        <f t="array" aca="1" ref="F45" ca="1">INDIRECT("A" &amp; (ROW() -9) * 8 + 9)</f>
        <v>i36</v>
      </c>
      <c r="G45" cm="1">
        <f t="array" aca="1" ref="G45" ca="1">INDIRECT("C" &amp; (ROW() -9) * 8 + 3)</f>
        <v>17</v>
      </c>
    </row>
    <row r="46" spans="1:7" x14ac:dyDescent="0.2">
      <c r="A46" t="s">
        <v>8</v>
      </c>
      <c r="B46">
        <v>30</v>
      </c>
      <c r="F46" t="str" cm="1">
        <f t="array" aca="1" ref="F46" ca="1">INDIRECT("A" &amp; (ROW() -9) * 8 + 9)</f>
        <v>i37</v>
      </c>
      <c r="G46" cm="1">
        <f t="array" aca="1" ref="G46" ca="1">INDIRECT("C" &amp; (ROW() -9) * 8 + 3)</f>
        <v>3242</v>
      </c>
    </row>
    <row r="47" spans="1:7" x14ac:dyDescent="0.2">
      <c r="A47" t="s">
        <v>8</v>
      </c>
      <c r="B47">
        <v>26</v>
      </c>
      <c r="F47" t="str" cm="1">
        <f t="array" aca="1" ref="F47" ca="1">INDIRECT("A" &amp; (ROW() -9) * 8 + 9)</f>
        <v>i38</v>
      </c>
      <c r="G47" cm="1">
        <f t="array" aca="1" ref="G47" ca="1">INDIRECT("C" &amp; (ROW() -9) * 8 + 3)</f>
        <v>94</v>
      </c>
    </row>
    <row r="48" spans="1:7" x14ac:dyDescent="0.2">
      <c r="A48" t="s">
        <v>8</v>
      </c>
      <c r="B48">
        <v>28</v>
      </c>
      <c r="F48" t="str" cm="1">
        <f t="array" aca="1" ref="F48" ca="1">INDIRECT("A" &amp; (ROW() -9) * 8 + 9)</f>
        <v>i39</v>
      </c>
      <c r="G48" cm="1">
        <f t="array" aca="1" ref="G48" ca="1">INDIRECT("C" &amp; (ROW() -9) * 8 + 3)</f>
        <v>11</v>
      </c>
    </row>
    <row r="49" spans="1:7" x14ac:dyDescent="0.2">
      <c r="A49" t="s">
        <v>8</v>
      </c>
      <c r="B49">
        <v>22</v>
      </c>
      <c r="F49" t="str" cm="1">
        <f t="array" aca="1" ref="F49" ca="1">INDIRECT("A" &amp; (ROW() -9) * 8 + 9)</f>
        <v>i40</v>
      </c>
      <c r="G49" cm="1">
        <f t="array" aca="1" ref="G49" ca="1">INDIRECT("C" &amp; (ROW() -9) * 8 + 3)</f>
        <v>1998</v>
      </c>
    </row>
    <row r="50" spans="1:7" x14ac:dyDescent="0.2">
      <c r="A50" t="s">
        <v>8</v>
      </c>
      <c r="B50">
        <v>30</v>
      </c>
      <c r="F50" t="str" cm="1">
        <f t="array" aca="1" ref="F50" ca="1">INDIRECT("A" &amp; (ROW() -9) * 8 + 9)</f>
        <v>iNano</v>
      </c>
      <c r="G50" cm="1">
        <f t="array" aca="1" ref="G50" ca="1">INDIRECT("C" &amp; (ROW() -9) * 8 + 3)</f>
        <v>1738</v>
      </c>
    </row>
    <row r="51" spans="1:7" x14ac:dyDescent="0.2">
      <c r="A51" t="s">
        <v>9</v>
      </c>
      <c r="B51">
        <v>78</v>
      </c>
      <c r="C51">
        <f>SUM(B51:B54)</f>
        <v>300</v>
      </c>
      <c r="F51" t="str" cm="1">
        <f t="array" aca="1" ref="F51" ca="1">INDIRECT("A" &amp; (ROW() -9) * 8 + 9)</f>
        <v>all</v>
      </c>
      <c r="G51" cm="1">
        <f t="array" aca="1" ref="G51" ca="1">INDIRECT("C" &amp; (ROW() -9) * 8 + 3)</f>
        <v>445768719</v>
      </c>
    </row>
    <row r="52" spans="1:7" x14ac:dyDescent="0.2">
      <c r="A52" t="s">
        <v>9</v>
      </c>
      <c r="B52">
        <v>85</v>
      </c>
    </row>
    <row r="53" spans="1:7" x14ac:dyDescent="0.2">
      <c r="A53" t="s">
        <v>9</v>
      </c>
      <c r="B53">
        <v>65</v>
      </c>
    </row>
    <row r="54" spans="1:7" x14ac:dyDescent="0.2">
      <c r="A54" t="s">
        <v>9</v>
      </c>
      <c r="B54">
        <v>72</v>
      </c>
    </row>
    <row r="55" spans="1:7" x14ac:dyDescent="0.2">
      <c r="A55" t="s">
        <v>9</v>
      </c>
      <c r="B55">
        <v>78</v>
      </c>
    </row>
    <row r="56" spans="1:7" x14ac:dyDescent="0.2">
      <c r="A56" t="s">
        <v>9</v>
      </c>
      <c r="B56">
        <v>85</v>
      </c>
    </row>
    <row r="57" spans="1:7" x14ac:dyDescent="0.2">
      <c r="A57" t="s">
        <v>9</v>
      </c>
      <c r="B57">
        <v>65</v>
      </c>
    </row>
    <row r="58" spans="1:7" x14ac:dyDescent="0.2">
      <c r="A58" t="s">
        <v>9</v>
      </c>
      <c r="B58">
        <v>72</v>
      </c>
    </row>
    <row r="59" spans="1:7" x14ac:dyDescent="0.2">
      <c r="A59" t="s">
        <v>10</v>
      </c>
      <c r="B59">
        <v>205</v>
      </c>
      <c r="C59">
        <f>SUM(B59:B62)</f>
        <v>764</v>
      </c>
    </row>
    <row r="60" spans="1:7" x14ac:dyDescent="0.2">
      <c r="A60" t="s">
        <v>10</v>
      </c>
      <c r="B60">
        <v>178</v>
      </c>
    </row>
    <row r="61" spans="1:7" x14ac:dyDescent="0.2">
      <c r="A61" t="s">
        <v>10</v>
      </c>
      <c r="B61">
        <v>189</v>
      </c>
    </row>
    <row r="62" spans="1:7" x14ac:dyDescent="0.2">
      <c r="A62" t="s">
        <v>10</v>
      </c>
      <c r="B62">
        <v>192</v>
      </c>
    </row>
    <row r="63" spans="1:7" x14ac:dyDescent="0.2">
      <c r="A63" t="s">
        <v>10</v>
      </c>
      <c r="B63">
        <v>205</v>
      </c>
    </row>
    <row r="64" spans="1:7" x14ac:dyDescent="0.2">
      <c r="A64" t="s">
        <v>10</v>
      </c>
      <c r="B64">
        <v>178</v>
      </c>
    </row>
    <row r="65" spans="1:3" x14ac:dyDescent="0.2">
      <c r="A65" t="s">
        <v>10</v>
      </c>
      <c r="B65">
        <v>189</v>
      </c>
    </row>
    <row r="66" spans="1:3" x14ac:dyDescent="0.2">
      <c r="A66" t="s">
        <v>10</v>
      </c>
      <c r="B66">
        <v>192</v>
      </c>
    </row>
    <row r="67" spans="1:3" x14ac:dyDescent="0.2">
      <c r="A67" t="s">
        <v>11</v>
      </c>
      <c r="B67">
        <v>110</v>
      </c>
      <c r="C67">
        <f>SUM(B67:B70)</f>
        <v>387</v>
      </c>
    </row>
    <row r="68" spans="1:3" x14ac:dyDescent="0.2">
      <c r="A68" t="s">
        <v>11</v>
      </c>
      <c r="B68">
        <v>92</v>
      </c>
    </row>
    <row r="69" spans="1:3" x14ac:dyDescent="0.2">
      <c r="A69" t="s">
        <v>11</v>
      </c>
      <c r="B69">
        <v>85</v>
      </c>
    </row>
    <row r="70" spans="1:3" x14ac:dyDescent="0.2">
      <c r="A70" t="s">
        <v>11</v>
      </c>
      <c r="B70">
        <v>100</v>
      </c>
    </row>
    <row r="71" spans="1:3" x14ac:dyDescent="0.2">
      <c r="A71" t="s">
        <v>11</v>
      </c>
      <c r="B71">
        <v>110</v>
      </c>
    </row>
    <row r="72" spans="1:3" x14ac:dyDescent="0.2">
      <c r="A72" t="s">
        <v>11</v>
      </c>
      <c r="B72">
        <v>92</v>
      </c>
    </row>
    <row r="73" spans="1:3" x14ac:dyDescent="0.2">
      <c r="A73" t="s">
        <v>11</v>
      </c>
      <c r="B73">
        <v>85</v>
      </c>
    </row>
    <row r="74" spans="1:3" x14ac:dyDescent="0.2">
      <c r="A74" t="s">
        <v>11</v>
      </c>
      <c r="B74">
        <v>100</v>
      </c>
    </row>
    <row r="75" spans="1:3" x14ac:dyDescent="0.2">
      <c r="A75" t="s">
        <v>12</v>
      </c>
      <c r="B75">
        <v>3</v>
      </c>
      <c r="C75">
        <f>SUM(B75:B78)</f>
        <v>7</v>
      </c>
    </row>
    <row r="76" spans="1:3" x14ac:dyDescent="0.2">
      <c r="A76" t="s">
        <v>12</v>
      </c>
      <c r="B76">
        <v>1</v>
      </c>
    </row>
    <row r="77" spans="1:3" x14ac:dyDescent="0.2">
      <c r="A77" t="s">
        <v>12</v>
      </c>
      <c r="B77">
        <v>2</v>
      </c>
    </row>
    <row r="78" spans="1:3" x14ac:dyDescent="0.2">
      <c r="A78" t="s">
        <v>12</v>
      </c>
      <c r="B78">
        <v>1</v>
      </c>
    </row>
    <row r="79" spans="1:3" x14ac:dyDescent="0.2">
      <c r="A79" t="s">
        <v>12</v>
      </c>
      <c r="B79">
        <v>3</v>
      </c>
    </row>
    <row r="80" spans="1:3" x14ac:dyDescent="0.2">
      <c r="A80" t="s">
        <v>12</v>
      </c>
      <c r="B80">
        <v>1</v>
      </c>
    </row>
    <row r="81" spans="1:3" x14ac:dyDescent="0.2">
      <c r="A81" t="s">
        <v>12</v>
      </c>
      <c r="B81">
        <v>2</v>
      </c>
    </row>
    <row r="82" spans="1:3" x14ac:dyDescent="0.2">
      <c r="A82" t="s">
        <v>12</v>
      </c>
      <c r="B82">
        <v>1</v>
      </c>
    </row>
    <row r="83" spans="1:3" x14ac:dyDescent="0.2">
      <c r="A83" t="s">
        <v>13</v>
      </c>
      <c r="B83">
        <v>19</v>
      </c>
      <c r="C83">
        <f>SUM(B83:B86)</f>
        <v>63</v>
      </c>
    </row>
    <row r="84" spans="1:3" x14ac:dyDescent="0.2">
      <c r="A84" t="s">
        <v>13</v>
      </c>
      <c r="B84">
        <v>22</v>
      </c>
    </row>
    <row r="85" spans="1:3" x14ac:dyDescent="0.2">
      <c r="A85" t="s">
        <v>13</v>
      </c>
      <c r="B85">
        <v>7</v>
      </c>
    </row>
    <row r="86" spans="1:3" x14ac:dyDescent="0.2">
      <c r="A86" t="s">
        <v>13</v>
      </c>
      <c r="B86">
        <v>15</v>
      </c>
    </row>
    <row r="87" spans="1:3" x14ac:dyDescent="0.2">
      <c r="A87" t="s">
        <v>13</v>
      </c>
      <c r="B87">
        <v>19</v>
      </c>
    </row>
    <row r="88" spans="1:3" x14ac:dyDescent="0.2">
      <c r="A88" t="s">
        <v>13</v>
      </c>
      <c r="B88">
        <v>22</v>
      </c>
    </row>
    <row r="89" spans="1:3" x14ac:dyDescent="0.2">
      <c r="A89" t="s">
        <v>13</v>
      </c>
      <c r="B89">
        <v>7</v>
      </c>
    </row>
    <row r="90" spans="1:3" x14ac:dyDescent="0.2">
      <c r="A90" t="s">
        <v>13</v>
      </c>
      <c r="B90">
        <v>15</v>
      </c>
    </row>
    <row r="91" spans="1:3" x14ac:dyDescent="0.2">
      <c r="A91" t="s">
        <v>14</v>
      </c>
      <c r="B91">
        <v>247</v>
      </c>
      <c r="C91">
        <f>SUM(B91:B94)</f>
        <v>997</v>
      </c>
    </row>
    <row r="92" spans="1:3" x14ac:dyDescent="0.2">
      <c r="A92" t="s">
        <v>14</v>
      </c>
      <c r="B92">
        <v>259</v>
      </c>
    </row>
    <row r="93" spans="1:3" x14ac:dyDescent="0.2">
      <c r="A93" t="s">
        <v>14</v>
      </c>
      <c r="B93">
        <v>250</v>
      </c>
    </row>
    <row r="94" spans="1:3" x14ac:dyDescent="0.2">
      <c r="A94" t="s">
        <v>14</v>
      </c>
      <c r="B94">
        <v>241</v>
      </c>
    </row>
    <row r="95" spans="1:3" x14ac:dyDescent="0.2">
      <c r="A95" t="s">
        <v>14</v>
      </c>
      <c r="B95">
        <v>247</v>
      </c>
    </row>
    <row r="96" spans="1:3" x14ac:dyDescent="0.2">
      <c r="A96" t="s">
        <v>14</v>
      </c>
      <c r="B96">
        <v>259</v>
      </c>
    </row>
    <row r="97" spans="1:3" x14ac:dyDescent="0.2">
      <c r="A97" t="s">
        <v>14</v>
      </c>
      <c r="B97">
        <v>250</v>
      </c>
    </row>
    <row r="98" spans="1:3" x14ac:dyDescent="0.2">
      <c r="A98" t="s">
        <v>14</v>
      </c>
      <c r="B98">
        <v>241</v>
      </c>
    </row>
    <row r="99" spans="1:3" x14ac:dyDescent="0.2">
      <c r="A99" t="s">
        <v>15</v>
      </c>
      <c r="B99">
        <v>4</v>
      </c>
      <c r="C99">
        <f>SUM(B99:B102)</f>
        <v>20</v>
      </c>
    </row>
    <row r="100" spans="1:3" x14ac:dyDescent="0.2">
      <c r="A100" t="s">
        <v>15</v>
      </c>
      <c r="B100">
        <v>9</v>
      </c>
    </row>
    <row r="101" spans="1:3" x14ac:dyDescent="0.2">
      <c r="A101" t="s">
        <v>15</v>
      </c>
      <c r="B101">
        <v>4</v>
      </c>
    </row>
    <row r="102" spans="1:3" x14ac:dyDescent="0.2">
      <c r="A102" t="s">
        <v>15</v>
      </c>
      <c r="B102">
        <v>3</v>
      </c>
    </row>
    <row r="103" spans="1:3" x14ac:dyDescent="0.2">
      <c r="A103" t="s">
        <v>15</v>
      </c>
      <c r="B103">
        <v>4</v>
      </c>
    </row>
    <row r="104" spans="1:3" x14ac:dyDescent="0.2">
      <c r="A104" t="s">
        <v>15</v>
      </c>
      <c r="B104">
        <v>9</v>
      </c>
    </row>
    <row r="105" spans="1:3" x14ac:dyDescent="0.2">
      <c r="A105" t="s">
        <v>15</v>
      </c>
      <c r="B105">
        <v>4</v>
      </c>
    </row>
    <row r="106" spans="1:3" x14ac:dyDescent="0.2">
      <c r="A106" t="s">
        <v>15</v>
      </c>
      <c r="B106">
        <v>3</v>
      </c>
    </row>
    <row r="107" spans="1:3" x14ac:dyDescent="0.2">
      <c r="A107" t="s">
        <v>16</v>
      </c>
      <c r="B107">
        <v>318</v>
      </c>
      <c r="C107">
        <f>SUM(B107:B110)</f>
        <v>1467</v>
      </c>
    </row>
    <row r="108" spans="1:3" x14ac:dyDescent="0.2">
      <c r="A108" t="s">
        <v>16</v>
      </c>
      <c r="B108">
        <v>356</v>
      </c>
    </row>
    <row r="109" spans="1:3" x14ac:dyDescent="0.2">
      <c r="A109" t="s">
        <v>16</v>
      </c>
      <c r="B109">
        <v>415</v>
      </c>
    </row>
    <row r="110" spans="1:3" x14ac:dyDescent="0.2">
      <c r="A110" t="s">
        <v>16</v>
      </c>
      <c r="B110">
        <v>378</v>
      </c>
    </row>
    <row r="111" spans="1:3" x14ac:dyDescent="0.2">
      <c r="A111" t="s">
        <v>16</v>
      </c>
      <c r="B111">
        <v>318</v>
      </c>
    </row>
    <row r="112" spans="1:3" x14ac:dyDescent="0.2">
      <c r="A112" t="s">
        <v>16</v>
      </c>
      <c r="B112">
        <v>356</v>
      </c>
    </row>
    <row r="113" spans="1:3" x14ac:dyDescent="0.2">
      <c r="A113" t="s">
        <v>16</v>
      </c>
      <c r="B113">
        <v>415</v>
      </c>
    </row>
    <row r="114" spans="1:3" x14ac:dyDescent="0.2">
      <c r="A114" t="s">
        <v>16</v>
      </c>
      <c r="B114">
        <v>378</v>
      </c>
    </row>
    <row r="115" spans="1:3" x14ac:dyDescent="0.2">
      <c r="A115" t="s">
        <v>17</v>
      </c>
      <c r="B115">
        <v>77</v>
      </c>
      <c r="C115">
        <f>SUM(B115:B118)</f>
        <v>344</v>
      </c>
    </row>
    <row r="116" spans="1:3" x14ac:dyDescent="0.2">
      <c r="A116" t="s">
        <v>17</v>
      </c>
      <c r="B116">
        <v>83</v>
      </c>
    </row>
    <row r="117" spans="1:3" x14ac:dyDescent="0.2">
      <c r="A117" t="s">
        <v>17</v>
      </c>
      <c r="B117">
        <v>92</v>
      </c>
    </row>
    <row r="118" spans="1:3" x14ac:dyDescent="0.2">
      <c r="A118" t="s">
        <v>17</v>
      </c>
      <c r="B118">
        <v>92</v>
      </c>
    </row>
    <row r="119" spans="1:3" x14ac:dyDescent="0.2">
      <c r="A119" t="s">
        <v>17</v>
      </c>
      <c r="B119">
        <v>77</v>
      </c>
    </row>
    <row r="120" spans="1:3" x14ac:dyDescent="0.2">
      <c r="A120" t="s">
        <v>17</v>
      </c>
      <c r="B120">
        <v>83</v>
      </c>
    </row>
    <row r="121" spans="1:3" x14ac:dyDescent="0.2">
      <c r="A121" t="s">
        <v>17</v>
      </c>
      <c r="B121">
        <v>92</v>
      </c>
    </row>
    <row r="122" spans="1:3" x14ac:dyDescent="0.2">
      <c r="A122" t="s">
        <v>17</v>
      </c>
      <c r="B122">
        <v>92</v>
      </c>
    </row>
    <row r="123" spans="1:3" x14ac:dyDescent="0.2">
      <c r="A123" t="s">
        <v>18</v>
      </c>
      <c r="B123">
        <v>3</v>
      </c>
      <c r="C123">
        <f>SUM(B123:B126)</f>
        <v>18</v>
      </c>
    </row>
    <row r="124" spans="1:3" x14ac:dyDescent="0.2">
      <c r="A124" t="s">
        <v>18</v>
      </c>
      <c r="B124">
        <v>3</v>
      </c>
    </row>
    <row r="125" spans="1:3" x14ac:dyDescent="0.2">
      <c r="A125" t="s">
        <v>18</v>
      </c>
      <c r="B125">
        <v>2</v>
      </c>
    </row>
    <row r="126" spans="1:3" x14ac:dyDescent="0.2">
      <c r="A126" t="s">
        <v>18</v>
      </c>
      <c r="B126">
        <v>10</v>
      </c>
    </row>
    <row r="127" spans="1:3" x14ac:dyDescent="0.2">
      <c r="A127" t="s">
        <v>18</v>
      </c>
      <c r="B127">
        <v>3</v>
      </c>
    </row>
    <row r="128" spans="1:3" x14ac:dyDescent="0.2">
      <c r="A128" t="s">
        <v>18</v>
      </c>
      <c r="B128">
        <v>3</v>
      </c>
    </row>
    <row r="129" spans="1:3" x14ac:dyDescent="0.2">
      <c r="A129" t="s">
        <v>18</v>
      </c>
      <c r="B129">
        <v>2</v>
      </c>
    </row>
    <row r="130" spans="1:3" x14ac:dyDescent="0.2">
      <c r="A130" t="s">
        <v>18</v>
      </c>
      <c r="B130">
        <v>10</v>
      </c>
    </row>
    <row r="131" spans="1:3" x14ac:dyDescent="0.2">
      <c r="A131" t="s">
        <v>19</v>
      </c>
      <c r="B131">
        <v>1</v>
      </c>
      <c r="C131">
        <f>SUM(B131:B134)</f>
        <v>11</v>
      </c>
    </row>
    <row r="132" spans="1:3" x14ac:dyDescent="0.2">
      <c r="A132" t="s">
        <v>19</v>
      </c>
      <c r="B132">
        <v>2</v>
      </c>
    </row>
    <row r="133" spans="1:3" x14ac:dyDescent="0.2">
      <c r="A133" t="s">
        <v>19</v>
      </c>
      <c r="B133">
        <v>2</v>
      </c>
    </row>
    <row r="134" spans="1:3" x14ac:dyDescent="0.2">
      <c r="A134" t="s">
        <v>19</v>
      </c>
      <c r="B134">
        <v>6</v>
      </c>
    </row>
    <row r="135" spans="1:3" x14ac:dyDescent="0.2">
      <c r="A135" t="s">
        <v>19</v>
      </c>
      <c r="B135">
        <v>1</v>
      </c>
    </row>
    <row r="136" spans="1:3" x14ac:dyDescent="0.2">
      <c r="A136" t="s">
        <v>19</v>
      </c>
      <c r="B136">
        <v>2</v>
      </c>
    </row>
    <row r="137" spans="1:3" x14ac:dyDescent="0.2">
      <c r="A137" t="s">
        <v>19</v>
      </c>
      <c r="B137">
        <v>2</v>
      </c>
    </row>
    <row r="138" spans="1:3" x14ac:dyDescent="0.2">
      <c r="A138" t="s">
        <v>19</v>
      </c>
      <c r="B138">
        <v>6</v>
      </c>
    </row>
    <row r="139" spans="1:3" x14ac:dyDescent="0.2">
      <c r="A139" t="s">
        <v>20</v>
      </c>
      <c r="B139">
        <v>7</v>
      </c>
      <c r="C139">
        <f>SUM(B139:B142)</f>
        <v>31</v>
      </c>
    </row>
    <row r="140" spans="1:3" x14ac:dyDescent="0.2">
      <c r="A140" t="s">
        <v>20</v>
      </c>
      <c r="B140">
        <v>5</v>
      </c>
    </row>
    <row r="141" spans="1:3" x14ac:dyDescent="0.2">
      <c r="A141" t="s">
        <v>20</v>
      </c>
      <c r="B141">
        <v>8</v>
      </c>
    </row>
    <row r="142" spans="1:3" x14ac:dyDescent="0.2">
      <c r="A142" t="s">
        <v>20</v>
      </c>
      <c r="B142">
        <v>11</v>
      </c>
    </row>
    <row r="143" spans="1:3" x14ac:dyDescent="0.2">
      <c r="A143" t="s">
        <v>20</v>
      </c>
      <c r="B143">
        <v>7</v>
      </c>
    </row>
    <row r="144" spans="1:3" x14ac:dyDescent="0.2">
      <c r="A144" t="s">
        <v>20</v>
      </c>
      <c r="B144">
        <v>5</v>
      </c>
    </row>
    <row r="145" spans="1:3" x14ac:dyDescent="0.2">
      <c r="A145" t="s">
        <v>20</v>
      </c>
      <c r="B145">
        <v>8</v>
      </c>
    </row>
    <row r="146" spans="1:3" x14ac:dyDescent="0.2">
      <c r="A146" t="s">
        <v>20</v>
      </c>
      <c r="B146">
        <v>11</v>
      </c>
    </row>
    <row r="147" spans="1:3" x14ac:dyDescent="0.2">
      <c r="A147" t="s">
        <v>21</v>
      </c>
      <c r="B147">
        <v>49</v>
      </c>
      <c r="C147">
        <f>SUM(B147:B150)</f>
        <v>185</v>
      </c>
    </row>
    <row r="148" spans="1:3" x14ac:dyDescent="0.2">
      <c r="A148" t="s">
        <v>21</v>
      </c>
      <c r="B148">
        <v>50</v>
      </c>
    </row>
    <row r="149" spans="1:3" x14ac:dyDescent="0.2">
      <c r="A149" t="s">
        <v>21</v>
      </c>
      <c r="B149">
        <v>46</v>
      </c>
    </row>
    <row r="150" spans="1:3" x14ac:dyDescent="0.2">
      <c r="A150" t="s">
        <v>21</v>
      </c>
      <c r="B150">
        <v>40</v>
      </c>
    </row>
    <row r="151" spans="1:3" x14ac:dyDescent="0.2">
      <c r="A151" t="s">
        <v>21</v>
      </c>
      <c r="B151">
        <v>49</v>
      </c>
    </row>
    <row r="152" spans="1:3" x14ac:dyDescent="0.2">
      <c r="A152" t="s">
        <v>21</v>
      </c>
      <c r="B152">
        <v>50</v>
      </c>
    </row>
    <row r="153" spans="1:3" x14ac:dyDescent="0.2">
      <c r="A153" t="s">
        <v>21</v>
      </c>
      <c r="B153">
        <v>46</v>
      </c>
    </row>
    <row r="154" spans="1:3" x14ac:dyDescent="0.2">
      <c r="A154" t="s">
        <v>21</v>
      </c>
      <c r="B154">
        <v>40</v>
      </c>
    </row>
    <row r="155" spans="1:3" x14ac:dyDescent="0.2">
      <c r="A155" t="s">
        <v>22</v>
      </c>
      <c r="B155">
        <v>12</v>
      </c>
      <c r="C155">
        <f>SUM(B155:B158)</f>
        <v>74</v>
      </c>
    </row>
    <row r="156" spans="1:3" x14ac:dyDescent="0.2">
      <c r="A156" t="s">
        <v>22</v>
      </c>
      <c r="B156">
        <v>26</v>
      </c>
    </row>
    <row r="157" spans="1:3" x14ac:dyDescent="0.2">
      <c r="A157" t="s">
        <v>22</v>
      </c>
      <c r="B157">
        <v>20</v>
      </c>
    </row>
    <row r="158" spans="1:3" x14ac:dyDescent="0.2">
      <c r="A158" t="s">
        <v>22</v>
      </c>
      <c r="B158">
        <v>16</v>
      </c>
    </row>
    <row r="159" spans="1:3" x14ac:dyDescent="0.2">
      <c r="A159" t="s">
        <v>22</v>
      </c>
      <c r="B159">
        <v>12</v>
      </c>
    </row>
    <row r="160" spans="1:3" x14ac:dyDescent="0.2">
      <c r="A160" t="s">
        <v>22</v>
      </c>
      <c r="B160">
        <v>26</v>
      </c>
    </row>
    <row r="161" spans="1:3" x14ac:dyDescent="0.2">
      <c r="A161" t="s">
        <v>22</v>
      </c>
      <c r="B161">
        <v>20</v>
      </c>
    </row>
    <row r="162" spans="1:3" x14ac:dyDescent="0.2">
      <c r="A162" t="s">
        <v>22</v>
      </c>
      <c r="B162">
        <v>16</v>
      </c>
    </row>
    <row r="163" spans="1:3" x14ac:dyDescent="0.2">
      <c r="A163" t="s">
        <v>23</v>
      </c>
      <c r="B163">
        <v>303</v>
      </c>
      <c r="C163">
        <f>SUM(B163:B166)</f>
        <v>1233</v>
      </c>
    </row>
    <row r="164" spans="1:3" x14ac:dyDescent="0.2">
      <c r="A164" t="s">
        <v>23</v>
      </c>
      <c r="B164">
        <v>309</v>
      </c>
    </row>
    <row r="165" spans="1:3" x14ac:dyDescent="0.2">
      <c r="A165" t="s">
        <v>23</v>
      </c>
      <c r="B165">
        <v>297</v>
      </c>
    </row>
    <row r="166" spans="1:3" x14ac:dyDescent="0.2">
      <c r="A166" t="s">
        <v>23</v>
      </c>
      <c r="B166">
        <v>324</v>
      </c>
    </row>
    <row r="167" spans="1:3" x14ac:dyDescent="0.2">
      <c r="A167" t="s">
        <v>23</v>
      </c>
      <c r="B167">
        <v>303</v>
      </c>
    </row>
    <row r="168" spans="1:3" x14ac:dyDescent="0.2">
      <c r="A168" t="s">
        <v>23</v>
      </c>
      <c r="B168">
        <v>309</v>
      </c>
    </row>
    <row r="169" spans="1:3" x14ac:dyDescent="0.2">
      <c r="A169" t="s">
        <v>23</v>
      </c>
      <c r="B169">
        <v>297</v>
      </c>
    </row>
    <row r="170" spans="1:3" x14ac:dyDescent="0.2">
      <c r="A170" t="s">
        <v>23</v>
      </c>
      <c r="B170">
        <v>324</v>
      </c>
    </row>
    <row r="171" spans="1:3" x14ac:dyDescent="0.2">
      <c r="A171" t="s">
        <v>24</v>
      </c>
      <c r="B171">
        <v>28510858</v>
      </c>
      <c r="C171">
        <f>SUM(B171:B174)</f>
        <v>114504846</v>
      </c>
    </row>
    <row r="172" spans="1:3" x14ac:dyDescent="0.2">
      <c r="A172" t="s">
        <v>24</v>
      </c>
      <c r="B172">
        <v>28248896</v>
      </c>
    </row>
    <row r="173" spans="1:3" x14ac:dyDescent="0.2">
      <c r="A173" t="s">
        <v>24</v>
      </c>
      <c r="B173">
        <v>29132660</v>
      </c>
    </row>
    <row r="174" spans="1:3" x14ac:dyDescent="0.2">
      <c r="A174" t="s">
        <v>24</v>
      </c>
      <c r="B174">
        <v>28612432</v>
      </c>
    </row>
    <row r="175" spans="1:3" x14ac:dyDescent="0.2">
      <c r="A175" t="s">
        <v>24</v>
      </c>
      <c r="B175">
        <v>28510858</v>
      </c>
    </row>
    <row r="176" spans="1:3" x14ac:dyDescent="0.2">
      <c r="A176" t="s">
        <v>24</v>
      </c>
      <c r="B176">
        <v>28248896</v>
      </c>
    </row>
    <row r="177" spans="1:3" x14ac:dyDescent="0.2">
      <c r="A177" t="s">
        <v>24</v>
      </c>
      <c r="B177">
        <v>29132660</v>
      </c>
    </row>
    <row r="178" spans="1:3" x14ac:dyDescent="0.2">
      <c r="A178" t="s">
        <v>24</v>
      </c>
      <c r="B178">
        <v>28612432</v>
      </c>
    </row>
    <row r="179" spans="1:3" x14ac:dyDescent="0.2">
      <c r="A179" t="s">
        <v>25</v>
      </c>
      <c r="B179">
        <v>24830373</v>
      </c>
      <c r="C179">
        <f>SUM(B179:B182)</f>
        <v>99849206</v>
      </c>
    </row>
    <row r="180" spans="1:3" x14ac:dyDescent="0.2">
      <c r="A180" t="s">
        <v>25</v>
      </c>
      <c r="B180">
        <v>24707147</v>
      </c>
    </row>
    <row r="181" spans="1:3" x14ac:dyDescent="0.2">
      <c r="A181" t="s">
        <v>25</v>
      </c>
      <c r="B181">
        <v>25314448</v>
      </c>
    </row>
    <row r="182" spans="1:3" x14ac:dyDescent="0.2">
      <c r="A182" t="s">
        <v>25</v>
      </c>
      <c r="B182">
        <v>24997238</v>
      </c>
    </row>
    <row r="183" spans="1:3" x14ac:dyDescent="0.2">
      <c r="A183" t="s">
        <v>25</v>
      </c>
      <c r="B183">
        <v>24830373</v>
      </c>
    </row>
    <row r="184" spans="1:3" x14ac:dyDescent="0.2">
      <c r="A184" t="s">
        <v>25</v>
      </c>
      <c r="B184">
        <v>24707147</v>
      </c>
    </row>
    <row r="185" spans="1:3" x14ac:dyDescent="0.2">
      <c r="A185" t="s">
        <v>25</v>
      </c>
      <c r="B185">
        <v>25314448</v>
      </c>
    </row>
    <row r="186" spans="1:3" x14ac:dyDescent="0.2">
      <c r="A186" t="s">
        <v>25</v>
      </c>
      <c r="B186">
        <v>24997238</v>
      </c>
    </row>
    <row r="187" spans="1:3" x14ac:dyDescent="0.2">
      <c r="A187" t="s">
        <v>26</v>
      </c>
      <c r="B187">
        <v>168</v>
      </c>
      <c r="C187">
        <f>SUM(B187:B190)</f>
        <v>654</v>
      </c>
    </row>
    <row r="188" spans="1:3" x14ac:dyDescent="0.2">
      <c r="A188" t="s">
        <v>26</v>
      </c>
      <c r="B188">
        <v>151</v>
      </c>
    </row>
    <row r="189" spans="1:3" x14ac:dyDescent="0.2">
      <c r="A189" t="s">
        <v>26</v>
      </c>
      <c r="B189">
        <v>168</v>
      </c>
    </row>
    <row r="190" spans="1:3" x14ac:dyDescent="0.2">
      <c r="A190" t="s">
        <v>26</v>
      </c>
      <c r="B190">
        <v>167</v>
      </c>
    </row>
    <row r="191" spans="1:3" x14ac:dyDescent="0.2">
      <c r="A191" t="s">
        <v>26</v>
      </c>
      <c r="B191">
        <v>168</v>
      </c>
    </row>
    <row r="192" spans="1:3" x14ac:dyDescent="0.2">
      <c r="A192" t="s">
        <v>26</v>
      </c>
      <c r="B192">
        <v>151</v>
      </c>
    </row>
    <row r="193" spans="1:3" x14ac:dyDescent="0.2">
      <c r="A193" t="s">
        <v>26</v>
      </c>
      <c r="B193">
        <v>168</v>
      </c>
    </row>
    <row r="194" spans="1:3" x14ac:dyDescent="0.2">
      <c r="A194" t="s">
        <v>26</v>
      </c>
      <c r="B194">
        <v>167</v>
      </c>
    </row>
    <row r="195" spans="1:3" x14ac:dyDescent="0.2">
      <c r="A195" t="s">
        <v>27</v>
      </c>
      <c r="B195">
        <v>184</v>
      </c>
      <c r="C195">
        <f>SUM(B195:B198)</f>
        <v>732</v>
      </c>
    </row>
    <row r="196" spans="1:3" x14ac:dyDescent="0.2">
      <c r="A196" t="s">
        <v>27</v>
      </c>
      <c r="B196">
        <v>177</v>
      </c>
    </row>
    <row r="197" spans="1:3" x14ac:dyDescent="0.2">
      <c r="A197" t="s">
        <v>27</v>
      </c>
      <c r="B197">
        <v>179</v>
      </c>
    </row>
    <row r="198" spans="1:3" x14ac:dyDescent="0.2">
      <c r="A198" t="s">
        <v>27</v>
      </c>
      <c r="B198">
        <v>192</v>
      </c>
    </row>
    <row r="199" spans="1:3" x14ac:dyDescent="0.2">
      <c r="A199" t="s">
        <v>27</v>
      </c>
      <c r="B199">
        <v>184</v>
      </c>
    </row>
    <row r="200" spans="1:3" x14ac:dyDescent="0.2">
      <c r="A200" t="s">
        <v>27</v>
      </c>
      <c r="B200">
        <v>177</v>
      </c>
    </row>
    <row r="201" spans="1:3" x14ac:dyDescent="0.2">
      <c r="A201" t="s">
        <v>27</v>
      </c>
      <c r="B201">
        <v>179</v>
      </c>
    </row>
    <row r="202" spans="1:3" x14ac:dyDescent="0.2">
      <c r="A202" t="s">
        <v>27</v>
      </c>
      <c r="B202">
        <v>192</v>
      </c>
    </row>
    <row r="203" spans="1:3" x14ac:dyDescent="0.2">
      <c r="A203" t="s">
        <v>28</v>
      </c>
      <c r="B203">
        <v>61</v>
      </c>
      <c r="C203">
        <f>SUM(B203:B206)</f>
        <v>196</v>
      </c>
    </row>
    <row r="204" spans="1:3" x14ac:dyDescent="0.2">
      <c r="A204" t="s">
        <v>28</v>
      </c>
      <c r="B204">
        <v>35</v>
      </c>
    </row>
    <row r="205" spans="1:3" x14ac:dyDescent="0.2">
      <c r="A205" t="s">
        <v>28</v>
      </c>
      <c r="B205">
        <v>47</v>
      </c>
    </row>
    <row r="206" spans="1:3" x14ac:dyDescent="0.2">
      <c r="A206" t="s">
        <v>28</v>
      </c>
      <c r="B206">
        <v>53</v>
      </c>
    </row>
    <row r="207" spans="1:3" x14ac:dyDescent="0.2">
      <c r="A207" t="s">
        <v>28</v>
      </c>
      <c r="B207">
        <v>61</v>
      </c>
    </row>
    <row r="208" spans="1:3" x14ac:dyDescent="0.2">
      <c r="A208" t="s">
        <v>28</v>
      </c>
      <c r="B208">
        <v>35</v>
      </c>
    </row>
    <row r="209" spans="1:3" x14ac:dyDescent="0.2">
      <c r="A209" t="s">
        <v>28</v>
      </c>
      <c r="B209">
        <v>47</v>
      </c>
    </row>
    <row r="210" spans="1:3" x14ac:dyDescent="0.2">
      <c r="A210" t="s">
        <v>28</v>
      </c>
      <c r="B210">
        <v>53</v>
      </c>
    </row>
    <row r="211" spans="1:3" x14ac:dyDescent="0.2">
      <c r="A211" t="s">
        <v>29</v>
      </c>
      <c r="B211">
        <v>21</v>
      </c>
      <c r="C211">
        <f>SUM(B211:B214)</f>
        <v>104</v>
      </c>
    </row>
    <row r="212" spans="1:3" x14ac:dyDescent="0.2">
      <c r="A212" t="s">
        <v>29</v>
      </c>
      <c r="B212">
        <v>25</v>
      </c>
    </row>
    <row r="213" spans="1:3" x14ac:dyDescent="0.2">
      <c r="A213" t="s">
        <v>29</v>
      </c>
      <c r="B213">
        <v>29</v>
      </c>
    </row>
    <row r="214" spans="1:3" x14ac:dyDescent="0.2">
      <c r="A214" t="s">
        <v>29</v>
      </c>
      <c r="B214">
        <v>29</v>
      </c>
    </row>
    <row r="215" spans="1:3" x14ac:dyDescent="0.2">
      <c r="A215" t="s">
        <v>29</v>
      </c>
      <c r="B215">
        <v>21</v>
      </c>
    </row>
    <row r="216" spans="1:3" x14ac:dyDescent="0.2">
      <c r="A216" t="s">
        <v>29</v>
      </c>
      <c r="B216">
        <v>25</v>
      </c>
    </row>
    <row r="217" spans="1:3" x14ac:dyDescent="0.2">
      <c r="A217" t="s">
        <v>29</v>
      </c>
      <c r="B217">
        <v>29</v>
      </c>
    </row>
    <row r="218" spans="1:3" x14ac:dyDescent="0.2">
      <c r="A218" t="s">
        <v>29</v>
      </c>
      <c r="B218">
        <v>29</v>
      </c>
    </row>
    <row r="219" spans="1:3" x14ac:dyDescent="0.2">
      <c r="A219" t="s">
        <v>30</v>
      </c>
      <c r="B219">
        <v>12</v>
      </c>
      <c r="C219">
        <f>SUM(B219:B222)</f>
        <v>59</v>
      </c>
    </row>
    <row r="220" spans="1:3" x14ac:dyDescent="0.2">
      <c r="A220" t="s">
        <v>30</v>
      </c>
      <c r="B220">
        <v>11</v>
      </c>
    </row>
    <row r="221" spans="1:3" x14ac:dyDescent="0.2">
      <c r="A221" t="s">
        <v>30</v>
      </c>
      <c r="B221">
        <v>20</v>
      </c>
    </row>
    <row r="222" spans="1:3" x14ac:dyDescent="0.2">
      <c r="A222" t="s">
        <v>30</v>
      </c>
      <c r="B222">
        <v>16</v>
      </c>
    </row>
    <row r="223" spans="1:3" x14ac:dyDescent="0.2">
      <c r="A223" t="s">
        <v>30</v>
      </c>
      <c r="B223">
        <v>12</v>
      </c>
    </row>
    <row r="224" spans="1:3" x14ac:dyDescent="0.2">
      <c r="A224" t="s">
        <v>30</v>
      </c>
      <c r="B224">
        <v>11</v>
      </c>
    </row>
    <row r="225" spans="1:3" x14ac:dyDescent="0.2">
      <c r="A225" t="s">
        <v>30</v>
      </c>
      <c r="B225">
        <v>20</v>
      </c>
    </row>
    <row r="226" spans="1:3" x14ac:dyDescent="0.2">
      <c r="A226" t="s">
        <v>30</v>
      </c>
      <c r="B226">
        <v>16</v>
      </c>
    </row>
    <row r="227" spans="1:3" x14ac:dyDescent="0.2">
      <c r="A227" t="s">
        <v>31</v>
      </c>
      <c r="B227">
        <v>146</v>
      </c>
      <c r="C227">
        <f>SUM(B227:B230)</f>
        <v>582</v>
      </c>
    </row>
    <row r="228" spans="1:3" x14ac:dyDescent="0.2">
      <c r="A228" t="s">
        <v>31</v>
      </c>
      <c r="B228">
        <v>138</v>
      </c>
    </row>
    <row r="229" spans="1:3" x14ac:dyDescent="0.2">
      <c r="A229" t="s">
        <v>31</v>
      </c>
      <c r="B229">
        <v>149</v>
      </c>
    </row>
    <row r="230" spans="1:3" x14ac:dyDescent="0.2">
      <c r="A230" t="s">
        <v>31</v>
      </c>
      <c r="B230">
        <v>149</v>
      </c>
    </row>
    <row r="231" spans="1:3" x14ac:dyDescent="0.2">
      <c r="A231" t="s">
        <v>31</v>
      </c>
      <c r="B231">
        <v>146</v>
      </c>
    </row>
    <row r="232" spans="1:3" x14ac:dyDescent="0.2">
      <c r="A232" t="s">
        <v>31</v>
      </c>
      <c r="B232">
        <v>138</v>
      </c>
    </row>
    <row r="233" spans="1:3" x14ac:dyDescent="0.2">
      <c r="A233" t="s">
        <v>31</v>
      </c>
      <c r="B233">
        <v>149</v>
      </c>
    </row>
    <row r="234" spans="1:3" x14ac:dyDescent="0.2">
      <c r="A234" t="s">
        <v>31</v>
      </c>
      <c r="B234">
        <v>149</v>
      </c>
    </row>
    <row r="235" spans="1:3" x14ac:dyDescent="0.2">
      <c r="A235" t="s">
        <v>32</v>
      </c>
      <c r="B235">
        <v>43</v>
      </c>
      <c r="C235">
        <f>SUM(B235:B238)</f>
        <v>189</v>
      </c>
    </row>
    <row r="236" spans="1:3" x14ac:dyDescent="0.2">
      <c r="A236" t="s">
        <v>32</v>
      </c>
      <c r="B236">
        <v>41</v>
      </c>
    </row>
    <row r="237" spans="1:3" x14ac:dyDescent="0.2">
      <c r="A237" t="s">
        <v>32</v>
      </c>
      <c r="B237">
        <v>48</v>
      </c>
    </row>
    <row r="238" spans="1:3" x14ac:dyDescent="0.2">
      <c r="A238" t="s">
        <v>32</v>
      </c>
      <c r="B238">
        <v>57</v>
      </c>
    </row>
    <row r="239" spans="1:3" x14ac:dyDescent="0.2">
      <c r="A239" t="s">
        <v>32</v>
      </c>
      <c r="B239">
        <v>43</v>
      </c>
    </row>
    <row r="240" spans="1:3" x14ac:dyDescent="0.2">
      <c r="A240" t="s">
        <v>32</v>
      </c>
      <c r="B240">
        <v>41</v>
      </c>
    </row>
    <row r="241" spans="1:3" x14ac:dyDescent="0.2">
      <c r="A241" t="s">
        <v>32</v>
      </c>
      <c r="B241">
        <v>48</v>
      </c>
    </row>
    <row r="242" spans="1:3" x14ac:dyDescent="0.2">
      <c r="A242" t="s">
        <v>32</v>
      </c>
      <c r="B242">
        <v>57</v>
      </c>
    </row>
    <row r="243" spans="1:3" x14ac:dyDescent="0.2">
      <c r="A243" t="s">
        <v>33</v>
      </c>
      <c r="B243">
        <v>36</v>
      </c>
      <c r="C243">
        <f>SUM(B243:B246)</f>
        <v>103</v>
      </c>
    </row>
    <row r="244" spans="1:3" x14ac:dyDescent="0.2">
      <c r="A244" t="s">
        <v>33</v>
      </c>
      <c r="B244">
        <v>15</v>
      </c>
    </row>
    <row r="245" spans="1:3" x14ac:dyDescent="0.2">
      <c r="A245" t="s">
        <v>33</v>
      </c>
      <c r="B245">
        <v>25</v>
      </c>
    </row>
    <row r="246" spans="1:3" x14ac:dyDescent="0.2">
      <c r="A246" t="s">
        <v>33</v>
      </c>
      <c r="B246">
        <v>27</v>
      </c>
    </row>
    <row r="247" spans="1:3" x14ac:dyDescent="0.2">
      <c r="A247" t="s">
        <v>33</v>
      </c>
      <c r="B247">
        <v>36</v>
      </c>
    </row>
    <row r="248" spans="1:3" x14ac:dyDescent="0.2">
      <c r="A248" t="s">
        <v>33</v>
      </c>
      <c r="B248">
        <v>15</v>
      </c>
    </row>
    <row r="249" spans="1:3" x14ac:dyDescent="0.2">
      <c r="A249" t="s">
        <v>33</v>
      </c>
      <c r="B249">
        <v>25</v>
      </c>
    </row>
    <row r="250" spans="1:3" x14ac:dyDescent="0.2">
      <c r="A250" t="s">
        <v>33</v>
      </c>
      <c r="B250">
        <v>27</v>
      </c>
    </row>
    <row r="251" spans="1:3" x14ac:dyDescent="0.2">
      <c r="A251" t="s">
        <v>34</v>
      </c>
      <c r="B251">
        <v>67</v>
      </c>
      <c r="C251">
        <f>SUM(B251:B254)</f>
        <v>243</v>
      </c>
    </row>
    <row r="252" spans="1:3" x14ac:dyDescent="0.2">
      <c r="A252" t="s">
        <v>34</v>
      </c>
      <c r="B252">
        <v>59</v>
      </c>
    </row>
    <row r="253" spans="1:3" x14ac:dyDescent="0.2">
      <c r="A253" t="s">
        <v>34</v>
      </c>
      <c r="B253">
        <v>66</v>
      </c>
    </row>
    <row r="254" spans="1:3" x14ac:dyDescent="0.2">
      <c r="A254" t="s">
        <v>34</v>
      </c>
      <c r="B254">
        <v>51</v>
      </c>
    </row>
    <row r="255" spans="1:3" x14ac:dyDescent="0.2">
      <c r="A255" t="s">
        <v>34</v>
      </c>
      <c r="B255">
        <v>67</v>
      </c>
    </row>
    <row r="256" spans="1:3" x14ac:dyDescent="0.2">
      <c r="A256" t="s">
        <v>34</v>
      </c>
      <c r="B256">
        <v>59</v>
      </c>
    </row>
    <row r="257" spans="1:3" x14ac:dyDescent="0.2">
      <c r="A257" t="s">
        <v>34</v>
      </c>
      <c r="B257">
        <v>66</v>
      </c>
    </row>
    <row r="258" spans="1:3" x14ac:dyDescent="0.2">
      <c r="A258" t="s">
        <v>34</v>
      </c>
      <c r="B258">
        <v>51</v>
      </c>
    </row>
    <row r="259" spans="1:3" x14ac:dyDescent="0.2">
      <c r="A259" t="s">
        <v>35</v>
      </c>
      <c r="C259">
        <f>SUM(B259:B262)</f>
        <v>6</v>
      </c>
    </row>
    <row r="260" spans="1:3" x14ac:dyDescent="0.2">
      <c r="A260" t="s">
        <v>35</v>
      </c>
      <c r="B260">
        <v>2</v>
      </c>
    </row>
    <row r="261" spans="1:3" x14ac:dyDescent="0.2">
      <c r="A261" t="s">
        <v>35</v>
      </c>
      <c r="B261">
        <v>1</v>
      </c>
    </row>
    <row r="262" spans="1:3" x14ac:dyDescent="0.2">
      <c r="A262" t="s">
        <v>35</v>
      </c>
      <c r="B262">
        <v>3</v>
      </c>
    </row>
    <row r="263" spans="1:3" x14ac:dyDescent="0.2">
      <c r="A263" t="s">
        <v>35</v>
      </c>
    </row>
    <row r="264" spans="1:3" x14ac:dyDescent="0.2">
      <c r="A264" t="s">
        <v>35</v>
      </c>
      <c r="B264">
        <v>2</v>
      </c>
    </row>
    <row r="265" spans="1:3" x14ac:dyDescent="0.2">
      <c r="A265" t="s">
        <v>35</v>
      </c>
      <c r="B265">
        <v>1</v>
      </c>
    </row>
    <row r="266" spans="1:3" x14ac:dyDescent="0.2">
      <c r="A266" t="s">
        <v>35</v>
      </c>
      <c r="B266">
        <v>3</v>
      </c>
    </row>
    <row r="267" spans="1:3" x14ac:dyDescent="0.2">
      <c r="A267" t="s">
        <v>36</v>
      </c>
      <c r="B267">
        <v>60</v>
      </c>
      <c r="C267">
        <f>SUM(B267:B270)</f>
        <v>241</v>
      </c>
    </row>
    <row r="268" spans="1:3" x14ac:dyDescent="0.2">
      <c r="A268" t="s">
        <v>36</v>
      </c>
      <c r="B268">
        <v>58</v>
      </c>
    </row>
    <row r="269" spans="1:3" x14ac:dyDescent="0.2">
      <c r="A269" t="s">
        <v>36</v>
      </c>
      <c r="B269">
        <v>62</v>
      </c>
    </row>
    <row r="270" spans="1:3" x14ac:dyDescent="0.2">
      <c r="A270" t="s">
        <v>36</v>
      </c>
      <c r="B270">
        <v>61</v>
      </c>
    </row>
    <row r="271" spans="1:3" x14ac:dyDescent="0.2">
      <c r="A271" t="s">
        <v>36</v>
      </c>
      <c r="B271">
        <v>60</v>
      </c>
    </row>
    <row r="272" spans="1:3" x14ac:dyDescent="0.2">
      <c r="A272" t="s">
        <v>36</v>
      </c>
      <c r="B272">
        <v>58</v>
      </c>
    </row>
    <row r="273" spans="1:3" x14ac:dyDescent="0.2">
      <c r="A273" t="s">
        <v>36</v>
      </c>
      <c r="B273">
        <v>62</v>
      </c>
    </row>
    <row r="274" spans="1:3" x14ac:dyDescent="0.2">
      <c r="A274" t="s">
        <v>36</v>
      </c>
      <c r="B274">
        <v>61</v>
      </c>
    </row>
    <row r="275" spans="1:3" x14ac:dyDescent="0.2">
      <c r="A275" t="s">
        <v>37</v>
      </c>
      <c r="B275">
        <v>2</v>
      </c>
      <c r="C275">
        <f>SUM(B275:B278)</f>
        <v>6</v>
      </c>
    </row>
    <row r="276" spans="1:3" x14ac:dyDescent="0.2">
      <c r="A276" t="s">
        <v>37</v>
      </c>
      <c r="B276">
        <v>1</v>
      </c>
    </row>
    <row r="277" spans="1:3" x14ac:dyDescent="0.2">
      <c r="A277" t="s">
        <v>37</v>
      </c>
      <c r="B277">
        <v>2</v>
      </c>
    </row>
    <row r="278" spans="1:3" x14ac:dyDescent="0.2">
      <c r="A278" t="s">
        <v>37</v>
      </c>
      <c r="B278">
        <v>1</v>
      </c>
    </row>
    <row r="279" spans="1:3" x14ac:dyDescent="0.2">
      <c r="A279" t="s">
        <v>37</v>
      </c>
      <c r="B279">
        <v>2</v>
      </c>
    </row>
    <row r="280" spans="1:3" x14ac:dyDescent="0.2">
      <c r="A280" t="s">
        <v>37</v>
      </c>
      <c r="B280">
        <v>1</v>
      </c>
    </row>
    <row r="281" spans="1:3" x14ac:dyDescent="0.2">
      <c r="A281" t="s">
        <v>37</v>
      </c>
      <c r="B281">
        <v>2</v>
      </c>
    </row>
    <row r="282" spans="1:3" x14ac:dyDescent="0.2">
      <c r="A282" t="s">
        <v>37</v>
      </c>
      <c r="B282">
        <v>1</v>
      </c>
    </row>
    <row r="283" spans="1:3" x14ac:dyDescent="0.2">
      <c r="A283" t="s">
        <v>38</v>
      </c>
      <c r="B283">
        <v>9</v>
      </c>
      <c r="C283">
        <f>SUM(B283:B286)</f>
        <v>40</v>
      </c>
    </row>
    <row r="284" spans="1:3" x14ac:dyDescent="0.2">
      <c r="A284" t="s">
        <v>38</v>
      </c>
      <c r="B284">
        <v>11</v>
      </c>
    </row>
    <row r="285" spans="1:3" x14ac:dyDescent="0.2">
      <c r="A285" t="s">
        <v>38</v>
      </c>
      <c r="B285">
        <v>11</v>
      </c>
    </row>
    <row r="286" spans="1:3" x14ac:dyDescent="0.2">
      <c r="A286" t="s">
        <v>38</v>
      </c>
      <c r="B286">
        <v>9</v>
      </c>
    </row>
    <row r="287" spans="1:3" x14ac:dyDescent="0.2">
      <c r="A287" t="s">
        <v>38</v>
      </c>
      <c r="B287">
        <v>9</v>
      </c>
    </row>
    <row r="288" spans="1:3" x14ac:dyDescent="0.2">
      <c r="A288" t="s">
        <v>38</v>
      </c>
      <c r="B288">
        <v>11</v>
      </c>
    </row>
    <row r="289" spans="1:3" x14ac:dyDescent="0.2">
      <c r="A289" t="s">
        <v>38</v>
      </c>
      <c r="B289">
        <v>11</v>
      </c>
    </row>
    <row r="290" spans="1:3" x14ac:dyDescent="0.2">
      <c r="A290" t="s">
        <v>38</v>
      </c>
      <c r="B290">
        <v>9</v>
      </c>
    </row>
    <row r="291" spans="1:3" x14ac:dyDescent="0.2">
      <c r="A291" t="s">
        <v>39</v>
      </c>
      <c r="B291">
        <v>4</v>
      </c>
      <c r="C291">
        <f>SUM(B291:B294)</f>
        <v>17</v>
      </c>
    </row>
    <row r="292" spans="1:3" x14ac:dyDescent="0.2">
      <c r="A292" t="s">
        <v>39</v>
      </c>
      <c r="B292">
        <v>2</v>
      </c>
    </row>
    <row r="293" spans="1:3" x14ac:dyDescent="0.2">
      <c r="A293" t="s">
        <v>39</v>
      </c>
      <c r="B293">
        <v>9</v>
      </c>
    </row>
    <row r="294" spans="1:3" x14ac:dyDescent="0.2">
      <c r="A294" t="s">
        <v>39</v>
      </c>
      <c r="B294">
        <v>2</v>
      </c>
    </row>
    <row r="295" spans="1:3" x14ac:dyDescent="0.2">
      <c r="A295" t="s">
        <v>39</v>
      </c>
      <c r="B295">
        <v>4</v>
      </c>
    </row>
    <row r="296" spans="1:3" x14ac:dyDescent="0.2">
      <c r="A296" t="s">
        <v>39</v>
      </c>
      <c r="B296">
        <v>2</v>
      </c>
    </row>
    <row r="297" spans="1:3" x14ac:dyDescent="0.2">
      <c r="A297" t="s">
        <v>39</v>
      </c>
      <c r="B297">
        <v>9</v>
      </c>
    </row>
    <row r="298" spans="1:3" x14ac:dyDescent="0.2">
      <c r="A298" t="s">
        <v>39</v>
      </c>
      <c r="B298">
        <v>2</v>
      </c>
    </row>
    <row r="299" spans="1:3" x14ac:dyDescent="0.2">
      <c r="A299" t="s">
        <v>40</v>
      </c>
      <c r="B299">
        <v>732</v>
      </c>
      <c r="C299">
        <f>SUM(B299:B302)</f>
        <v>3242</v>
      </c>
    </row>
    <row r="300" spans="1:3" x14ac:dyDescent="0.2">
      <c r="A300" t="s">
        <v>40</v>
      </c>
      <c r="B300">
        <v>872</v>
      </c>
    </row>
    <row r="301" spans="1:3" x14ac:dyDescent="0.2">
      <c r="A301" t="s">
        <v>40</v>
      </c>
      <c r="B301">
        <v>815</v>
      </c>
    </row>
    <row r="302" spans="1:3" x14ac:dyDescent="0.2">
      <c r="A302" t="s">
        <v>40</v>
      </c>
      <c r="B302">
        <v>823</v>
      </c>
    </row>
    <row r="303" spans="1:3" x14ac:dyDescent="0.2">
      <c r="A303" t="s">
        <v>40</v>
      </c>
      <c r="B303">
        <v>732</v>
      </c>
    </row>
    <row r="304" spans="1:3" x14ac:dyDescent="0.2">
      <c r="A304" t="s">
        <v>40</v>
      </c>
      <c r="B304">
        <v>872</v>
      </c>
    </row>
    <row r="305" spans="1:3" x14ac:dyDescent="0.2">
      <c r="A305" t="s">
        <v>40</v>
      </c>
      <c r="B305">
        <v>815</v>
      </c>
    </row>
    <row r="306" spans="1:3" x14ac:dyDescent="0.2">
      <c r="A306" t="s">
        <v>40</v>
      </c>
      <c r="B306">
        <v>823</v>
      </c>
    </row>
    <row r="307" spans="1:3" x14ac:dyDescent="0.2">
      <c r="A307" t="s">
        <v>41</v>
      </c>
      <c r="B307">
        <v>13</v>
      </c>
      <c r="C307">
        <f>SUM(B307:B310)</f>
        <v>94</v>
      </c>
    </row>
    <row r="308" spans="1:3" x14ac:dyDescent="0.2">
      <c r="A308" t="s">
        <v>41</v>
      </c>
      <c r="B308">
        <v>29</v>
      </c>
    </row>
    <row r="309" spans="1:3" x14ac:dyDescent="0.2">
      <c r="A309" t="s">
        <v>41</v>
      </c>
      <c r="B309">
        <v>15</v>
      </c>
    </row>
    <row r="310" spans="1:3" x14ac:dyDescent="0.2">
      <c r="A310" t="s">
        <v>41</v>
      </c>
      <c r="B310">
        <v>37</v>
      </c>
    </row>
    <row r="311" spans="1:3" x14ac:dyDescent="0.2">
      <c r="A311" t="s">
        <v>41</v>
      </c>
      <c r="B311">
        <v>13</v>
      </c>
    </row>
    <row r="312" spans="1:3" x14ac:dyDescent="0.2">
      <c r="A312" t="s">
        <v>41</v>
      </c>
      <c r="B312">
        <v>29</v>
      </c>
    </row>
    <row r="313" spans="1:3" x14ac:dyDescent="0.2">
      <c r="A313" t="s">
        <v>41</v>
      </c>
      <c r="B313">
        <v>15</v>
      </c>
    </row>
    <row r="314" spans="1:3" x14ac:dyDescent="0.2">
      <c r="A314" t="s">
        <v>41</v>
      </c>
      <c r="B314">
        <v>37</v>
      </c>
    </row>
    <row r="315" spans="1:3" x14ac:dyDescent="0.2">
      <c r="A315" t="s">
        <v>42</v>
      </c>
      <c r="B315">
        <v>3</v>
      </c>
      <c r="C315">
        <f>SUM(B315:B318)</f>
        <v>11</v>
      </c>
    </row>
    <row r="316" spans="1:3" x14ac:dyDescent="0.2">
      <c r="A316" t="s">
        <v>42</v>
      </c>
    </row>
    <row r="317" spans="1:3" x14ac:dyDescent="0.2">
      <c r="A317" t="s">
        <v>42</v>
      </c>
      <c r="B317">
        <v>5</v>
      </c>
    </row>
    <row r="318" spans="1:3" x14ac:dyDescent="0.2">
      <c r="A318" t="s">
        <v>42</v>
      </c>
      <c r="B318">
        <v>3</v>
      </c>
    </row>
    <row r="319" spans="1:3" x14ac:dyDescent="0.2">
      <c r="A319" t="s">
        <v>42</v>
      </c>
      <c r="B319">
        <v>3</v>
      </c>
    </row>
    <row r="320" spans="1:3" x14ac:dyDescent="0.2">
      <c r="A320" t="s">
        <v>42</v>
      </c>
    </row>
    <row r="321" spans="1:3" x14ac:dyDescent="0.2">
      <c r="A321" t="s">
        <v>42</v>
      </c>
      <c r="B321">
        <v>5</v>
      </c>
    </row>
    <row r="322" spans="1:3" x14ac:dyDescent="0.2">
      <c r="A322" t="s">
        <v>42</v>
      </c>
      <c r="B322">
        <v>3</v>
      </c>
    </row>
    <row r="323" spans="1:3" x14ac:dyDescent="0.2">
      <c r="A323" t="s">
        <v>43</v>
      </c>
      <c r="B323">
        <v>527</v>
      </c>
      <c r="C323">
        <f>SUM(B323:B326)</f>
        <v>1998</v>
      </c>
    </row>
    <row r="324" spans="1:3" x14ac:dyDescent="0.2">
      <c r="A324" t="s">
        <v>43</v>
      </c>
      <c r="B324">
        <v>505</v>
      </c>
    </row>
    <row r="325" spans="1:3" x14ac:dyDescent="0.2">
      <c r="A325" t="s">
        <v>43</v>
      </c>
      <c r="B325">
        <v>479</v>
      </c>
    </row>
    <row r="326" spans="1:3" x14ac:dyDescent="0.2">
      <c r="A326" t="s">
        <v>43</v>
      </c>
      <c r="B326">
        <v>487</v>
      </c>
    </row>
    <row r="327" spans="1:3" x14ac:dyDescent="0.2">
      <c r="A327" t="s">
        <v>43</v>
      </c>
      <c r="B327">
        <v>527</v>
      </c>
    </row>
    <row r="328" spans="1:3" x14ac:dyDescent="0.2">
      <c r="A328" t="s">
        <v>43</v>
      </c>
      <c r="B328">
        <v>505</v>
      </c>
    </row>
    <row r="329" spans="1:3" x14ac:dyDescent="0.2">
      <c r="A329" t="s">
        <v>43</v>
      </c>
      <c r="B329">
        <v>479</v>
      </c>
    </row>
    <row r="330" spans="1:3" x14ac:dyDescent="0.2">
      <c r="A330" t="s">
        <v>43</v>
      </c>
      <c r="B330">
        <v>487</v>
      </c>
    </row>
    <row r="331" spans="1:3" x14ac:dyDescent="0.2">
      <c r="A331" t="s">
        <v>44</v>
      </c>
      <c r="B331">
        <v>411</v>
      </c>
      <c r="C331">
        <f>SUM(B331:B334)</f>
        <v>1738</v>
      </c>
    </row>
    <row r="332" spans="1:3" x14ac:dyDescent="0.2">
      <c r="A332" t="s">
        <v>44</v>
      </c>
      <c r="B332">
        <v>451</v>
      </c>
    </row>
    <row r="333" spans="1:3" x14ac:dyDescent="0.2">
      <c r="A333" t="s">
        <v>44</v>
      </c>
      <c r="B333">
        <v>422</v>
      </c>
    </row>
    <row r="334" spans="1:3" x14ac:dyDescent="0.2">
      <c r="A334" t="s">
        <v>44</v>
      </c>
      <c r="B334">
        <v>454</v>
      </c>
    </row>
    <row r="335" spans="1:3" x14ac:dyDescent="0.2">
      <c r="A335" t="s">
        <v>44</v>
      </c>
      <c r="B335">
        <v>411</v>
      </c>
    </row>
    <row r="336" spans="1:3" x14ac:dyDescent="0.2">
      <c r="A336" t="s">
        <v>44</v>
      </c>
      <c r="B336">
        <v>451</v>
      </c>
    </row>
    <row r="337" spans="1:3" x14ac:dyDescent="0.2">
      <c r="A337" t="s">
        <v>44</v>
      </c>
      <c r="B337">
        <v>422</v>
      </c>
    </row>
    <row r="338" spans="1:3" x14ac:dyDescent="0.2">
      <c r="A338" t="s">
        <v>44</v>
      </c>
      <c r="B338">
        <v>454</v>
      </c>
    </row>
    <row r="339" spans="1:3" x14ac:dyDescent="0.2">
      <c r="A339" t="s">
        <v>3</v>
      </c>
      <c r="B339">
        <v>111039910</v>
      </c>
      <c r="C339">
        <f>SUM(B339:B342)</f>
        <v>445768719</v>
      </c>
    </row>
    <row r="340" spans="1:3" x14ac:dyDescent="0.2">
      <c r="A340" t="s">
        <v>3</v>
      </c>
      <c r="B340">
        <v>110774440</v>
      </c>
    </row>
    <row r="341" spans="1:3" x14ac:dyDescent="0.2">
      <c r="A341" t="s">
        <v>3</v>
      </c>
      <c r="B341">
        <v>112510933</v>
      </c>
    </row>
    <row r="342" spans="1:3" x14ac:dyDescent="0.2">
      <c r="A342" t="s">
        <v>3</v>
      </c>
      <c r="B342">
        <v>111443436</v>
      </c>
    </row>
    <row r="343" spans="1:3" x14ac:dyDescent="0.2">
      <c r="A343" t="s">
        <v>3</v>
      </c>
      <c r="B343">
        <v>111039910</v>
      </c>
    </row>
    <row r="344" spans="1:3" x14ac:dyDescent="0.2">
      <c r="A344" t="s">
        <v>3</v>
      </c>
      <c r="B344">
        <v>110774440</v>
      </c>
    </row>
    <row r="345" spans="1:3" x14ac:dyDescent="0.2">
      <c r="A345" t="s">
        <v>3</v>
      </c>
      <c r="B345">
        <v>112510933</v>
      </c>
    </row>
    <row r="346" spans="1:3" x14ac:dyDescent="0.2">
      <c r="A346" t="s">
        <v>3</v>
      </c>
      <c r="B346">
        <v>111443436</v>
      </c>
    </row>
    <row r="347" spans="1:3" x14ac:dyDescent="0.2">
      <c r="C347">
        <f>SUM(B347:B350)</f>
        <v>0</v>
      </c>
    </row>
    <row r="355" spans="3:3" x14ac:dyDescent="0.2">
      <c r="C355">
        <f>SUM(B355:B358)</f>
        <v>0</v>
      </c>
    </row>
    <row r="363" spans="3:3" x14ac:dyDescent="0.2">
      <c r="C363">
        <f>SUM(B363:B366)</f>
        <v>0</v>
      </c>
    </row>
    <row r="371" spans="3:3" x14ac:dyDescent="0.2">
      <c r="C371">
        <f>SUM(B371:B374)</f>
        <v>0</v>
      </c>
    </row>
    <row r="379" spans="3:3" x14ac:dyDescent="0.2">
      <c r="C379">
        <f>SUM(B379:B382)</f>
        <v>0</v>
      </c>
    </row>
    <row r="387" spans="3:3" x14ac:dyDescent="0.2">
      <c r="C387">
        <f>SUM(B387:B390)</f>
        <v>0</v>
      </c>
    </row>
    <row r="395" spans="3:3" x14ac:dyDescent="0.2">
      <c r="C395">
        <f>SUM(B395:B398)</f>
        <v>0</v>
      </c>
    </row>
    <row r="403" spans="3:3" x14ac:dyDescent="0.2">
      <c r="C403">
        <f>SUM(B403:B406)</f>
        <v>0</v>
      </c>
    </row>
    <row r="411" spans="3:3" x14ac:dyDescent="0.2">
      <c r="C411">
        <f>SUM(B411:B414)</f>
        <v>0</v>
      </c>
    </row>
    <row r="419" spans="3:3" x14ac:dyDescent="0.2">
      <c r="C419">
        <f>SUM(B419:B422)</f>
        <v>0</v>
      </c>
    </row>
    <row r="427" spans="3:3" x14ac:dyDescent="0.2">
      <c r="C427">
        <f>SUM(B427:B430)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DemultiplexingStats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Nianchao Qian</cp:lastModifiedBy>
  <dcterms:created xsi:type="dcterms:W3CDTF">2025-01-03T16:31:44Z</dcterms:created>
  <dcterms:modified xsi:type="dcterms:W3CDTF">2025-01-03T16:33:42Z</dcterms:modified>
</cp:coreProperties>
</file>