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anchaoqian/Desktop/"/>
    </mc:Choice>
  </mc:AlternateContent>
  <xr:revisionPtr revIDLastSave="0" documentId="13_ncr:1_{10253153-6E7B-1B48-AB95-504F0B64928A}" xr6:coauthVersionLast="47" xr6:coauthVersionMax="47" xr10:uidLastSave="{00000000-0000-0000-0000-000000000000}"/>
  <bookViews>
    <workbookView xWindow="0" yWindow="500" windowWidth="12280" windowHeight="16080" xr2:uid="{452A65C7-F93C-754C-8226-4FB7F9F6C517}"/>
  </bookViews>
  <sheets>
    <sheet name="DemultiplexingS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1" l="1"/>
  <c r="M46" i="1"/>
  <c r="M44" i="1"/>
  <c r="M42" i="1"/>
  <c r="M40" i="1"/>
  <c r="M38" i="1"/>
  <c r="M36" i="1"/>
  <c r="M34" i="1"/>
  <c r="M32" i="1"/>
  <c r="M30" i="1"/>
  <c r="N32" i="1"/>
  <c r="O20" i="1"/>
  <c r="L20" i="1"/>
  <c r="L19" i="1"/>
  <c r="L48" i="1"/>
  <c r="L47" i="1"/>
  <c r="L42" i="1"/>
  <c r="L41" i="1"/>
  <c r="L40" i="1"/>
  <c r="N40" i="1" s="1"/>
  <c r="L39" i="1"/>
  <c r="L34" i="1"/>
  <c r="L33" i="1"/>
  <c r="L32" i="1"/>
  <c r="L31" i="1"/>
  <c r="O30" i="1"/>
  <c r="L27" i="1"/>
  <c r="L26" i="1"/>
  <c r="L25" i="1"/>
  <c r="L24" i="1"/>
  <c r="K50" i="1"/>
  <c r="L46" i="1" s="1"/>
  <c r="N46" i="1" s="1"/>
  <c r="C427" i="1"/>
  <c r="C419" i="1"/>
  <c r="C411" i="1"/>
  <c r="C403" i="1"/>
  <c r="C395" i="1"/>
  <c r="C387" i="1"/>
  <c r="C379" i="1"/>
  <c r="C371" i="1"/>
  <c r="C363" i="1"/>
  <c r="C355" i="1"/>
  <c r="C347" i="1"/>
  <c r="C339" i="1"/>
  <c r="C331" i="1"/>
  <c r="C323" i="1"/>
  <c r="C315" i="1"/>
  <c r="C307" i="1"/>
  <c r="C299" i="1"/>
  <c r="C291" i="1"/>
  <c r="C283" i="1"/>
  <c r="C275" i="1"/>
  <c r="C267" i="1"/>
  <c r="C259" i="1"/>
  <c r="C251" i="1"/>
  <c r="C243" i="1"/>
  <c r="C235" i="1"/>
  <c r="C227" i="1"/>
  <c r="C219" i="1"/>
  <c r="C211" i="1"/>
  <c r="C203" i="1"/>
  <c r="C195" i="1"/>
  <c r="C187" i="1"/>
  <c r="C179" i="1"/>
  <c r="C171" i="1"/>
  <c r="C163" i="1"/>
  <c r="C155" i="1"/>
  <c r="C147" i="1"/>
  <c r="C139" i="1"/>
  <c r="C131" i="1"/>
  <c r="C123" i="1"/>
  <c r="C115" i="1"/>
  <c r="C107" i="1"/>
  <c r="C99" i="1"/>
  <c r="C91" i="1"/>
  <c r="C83" i="1"/>
  <c r="C75" i="1"/>
  <c r="C67" i="1"/>
  <c r="C59" i="1"/>
  <c r="C51" i="1"/>
  <c r="C43" i="1"/>
  <c r="C35" i="1"/>
  <c r="C27" i="1"/>
  <c r="C19" i="1"/>
  <c r="C11" i="1"/>
  <c r="C3" i="1"/>
  <c r="F37" i="1" a="1"/>
  <c r="G13" i="1" a="1"/>
  <c r="G32" i="1" a="1"/>
  <c r="G60" i="1" a="1"/>
  <c r="F33" i="1" a="1"/>
  <c r="G40" i="1" a="1"/>
  <c r="G47" i="1" a="1"/>
  <c r="F19" i="1" a="1"/>
  <c r="G61" i="1" a="1"/>
  <c r="G41" i="1" a="1"/>
  <c r="F42" i="1" a="1"/>
  <c r="G49" i="1" a="1"/>
  <c r="F51" i="1" a="1"/>
  <c r="F58" i="1" a="1"/>
  <c r="G28" i="1" a="1"/>
  <c r="G27" i="1" a="1"/>
  <c r="F31" i="1" a="1"/>
  <c r="G36" i="1" a="1"/>
  <c r="F30" i="1" a="1"/>
  <c r="F17" i="1" a="1"/>
  <c r="G59" i="1" a="1"/>
  <c r="F24" i="1" a="1"/>
  <c r="F40" i="1" a="1"/>
  <c r="F32" i="1" a="1"/>
  <c r="G10" i="1" a="1"/>
  <c r="G58" i="1" a="1"/>
  <c r="G25" i="1" a="1"/>
  <c r="F52" i="1" a="1"/>
  <c r="F11" i="1" a="1"/>
  <c r="F29" i="1" a="1"/>
  <c r="F23" i="1" a="1"/>
  <c r="F9" i="1" a="1"/>
  <c r="F38" i="1" a="1"/>
  <c r="G62" i="1" a="1"/>
  <c r="G56" i="1" a="1"/>
  <c r="F59" i="1" a="1"/>
  <c r="F27" i="1" a="1"/>
  <c r="G9" i="1" a="1"/>
  <c r="G45" i="1" a="1"/>
  <c r="G33" i="1" a="1"/>
  <c r="G39" i="1" a="1"/>
  <c r="G54" i="1" a="1"/>
  <c r="G38" i="1" a="1"/>
  <c r="G50" i="1" a="1"/>
  <c r="G34" i="1" a="1"/>
  <c r="F28" i="1" a="1"/>
  <c r="G57" i="1" a="1"/>
  <c r="F20" i="1" a="1"/>
  <c r="G52" i="1" a="1"/>
  <c r="F25" i="1" a="1"/>
  <c r="G48" i="1" a="1"/>
  <c r="G30" i="1" a="1"/>
  <c r="F26" i="1" a="1"/>
  <c r="G55" i="1" a="1"/>
  <c r="F43" i="1" a="1"/>
  <c r="F41" i="1" a="1"/>
  <c r="F21" i="1" a="1"/>
  <c r="G46" i="1" a="1"/>
  <c r="F15" i="1" a="1"/>
  <c r="F45" i="1" a="1"/>
  <c r="G53" i="1" a="1"/>
  <c r="F14" i="1" a="1"/>
  <c r="F39" i="1" a="1"/>
  <c r="F44" i="1" a="1"/>
  <c r="G44" i="1" a="1"/>
  <c r="F61" i="1" a="1"/>
  <c r="F16" i="1" a="1"/>
  <c r="G51" i="1" a="1"/>
  <c r="G18" i="1" a="1"/>
  <c r="F35" i="1" a="1"/>
  <c r="F62" i="1" a="1"/>
  <c r="G12" i="1" a="1"/>
  <c r="F50" i="1" a="1"/>
  <c r="F49" i="1" a="1"/>
  <c r="F53" i="1" a="1"/>
  <c r="G23" i="1" a="1"/>
  <c r="G42" i="1" a="1"/>
  <c r="F60" i="1" a="1"/>
  <c r="F55" i="1" a="1"/>
  <c r="F48" i="1" a="1"/>
  <c r="F36" i="1" a="1"/>
  <c r="G29" i="1" a="1"/>
  <c r="G21" i="1" a="1"/>
  <c r="F34" i="1" a="1"/>
  <c r="G15" i="1" a="1"/>
  <c r="G35" i="1" a="1"/>
  <c r="F46" i="1" a="1"/>
  <c r="G26" i="1" a="1"/>
  <c r="F22" i="1" a="1"/>
  <c r="G19" i="1" a="1"/>
  <c r="G14" i="1" a="1"/>
  <c r="G11" i="1" a="1"/>
  <c r="F47" i="1" a="1"/>
  <c r="F13" i="1" a="1"/>
  <c r="G24" i="1" a="1"/>
  <c r="F18" i="1" a="1"/>
  <c r="F10" i="1" a="1"/>
  <c r="F57" i="1" a="1"/>
  <c r="F56" i="1" a="1"/>
  <c r="G31" i="1" a="1"/>
  <c r="G43" i="1" a="1"/>
  <c r="G22" i="1" a="1"/>
  <c r="G17" i="1" a="1"/>
  <c r="G37" i="1" a="1"/>
  <c r="F54" i="1" a="1"/>
  <c r="F12" i="1" a="1"/>
  <c r="G16" i="1" a="1"/>
  <c r="G20" i="1" a="1"/>
  <c r="N42" i="1" l="1"/>
  <c r="L28" i="1"/>
  <c r="L35" i="1"/>
  <c r="N34" i="1" s="1"/>
  <c r="L43" i="1"/>
  <c r="L49" i="1"/>
  <c r="N48" i="1" s="1"/>
  <c r="L21" i="1"/>
  <c r="P20" i="1" s="1"/>
  <c r="L29" i="1"/>
  <c r="L36" i="1"/>
  <c r="L44" i="1"/>
  <c r="L22" i="1"/>
  <c r="L30" i="1"/>
  <c r="N30" i="1" s="1"/>
  <c r="L37" i="1"/>
  <c r="L45" i="1"/>
  <c r="L23" i="1"/>
  <c r="L38" i="1"/>
  <c r="N38" i="1" s="1"/>
  <c r="F18" i="1"/>
  <c r="F22" i="1"/>
  <c r="G29" i="1"/>
  <c r="G62" i="1"/>
  <c r="G10" i="1"/>
  <c r="F51" i="1"/>
  <c r="G18" i="1"/>
  <c r="F14" i="1"/>
  <c r="F43" i="1"/>
  <c r="F20" i="1"/>
  <c r="G39" i="1"/>
  <c r="F53" i="1"/>
  <c r="F32" i="1"/>
  <c r="G49" i="1"/>
  <c r="G20" i="1"/>
  <c r="G22" i="1"/>
  <c r="G24" i="1"/>
  <c r="G26" i="1"/>
  <c r="F36" i="1"/>
  <c r="F38" i="1"/>
  <c r="F40" i="1"/>
  <c r="F42" i="1"/>
  <c r="G51" i="1"/>
  <c r="G53" i="1"/>
  <c r="G55" i="1"/>
  <c r="G57" i="1"/>
  <c r="G33" i="1"/>
  <c r="F49" i="1"/>
  <c r="F24" i="1"/>
  <c r="G41" i="1"/>
  <c r="G16" i="1"/>
  <c r="G43" i="1"/>
  <c r="F13" i="1"/>
  <c r="F46" i="1"/>
  <c r="F48" i="1"/>
  <c r="F50" i="1"/>
  <c r="G59" i="1"/>
  <c r="G61" i="1"/>
  <c r="F16" i="1"/>
  <c r="F45" i="1"/>
  <c r="F26" i="1"/>
  <c r="F28" i="1"/>
  <c r="G45" i="1"/>
  <c r="F9" i="1"/>
  <c r="F17" i="1"/>
  <c r="F19" i="1"/>
  <c r="F12" i="1"/>
  <c r="G31" i="1"/>
  <c r="F47" i="1"/>
  <c r="G35" i="1"/>
  <c r="F55" i="1"/>
  <c r="G12" i="1"/>
  <c r="F30" i="1"/>
  <c r="G47" i="1"/>
  <c r="F61" i="1"/>
  <c r="F15" i="1"/>
  <c r="G30" i="1"/>
  <c r="G34" i="1"/>
  <c r="G9" i="1"/>
  <c r="F23" i="1"/>
  <c r="G36" i="1"/>
  <c r="G40" i="1"/>
  <c r="F54" i="1"/>
  <c r="F56" i="1"/>
  <c r="G11" i="1"/>
  <c r="G15" i="1"/>
  <c r="F27" i="1"/>
  <c r="F29" i="1"/>
  <c r="F31" i="1"/>
  <c r="F33" i="1"/>
  <c r="G44" i="1"/>
  <c r="G46" i="1"/>
  <c r="G48" i="1"/>
  <c r="G50" i="1"/>
  <c r="F60" i="1"/>
  <c r="F62" i="1"/>
  <c r="G27" i="1"/>
  <c r="G60" i="1"/>
  <c r="G37" i="1"/>
  <c r="F57" i="1"/>
  <c r="G14" i="1"/>
  <c r="F34" i="1"/>
  <c r="F59" i="1"/>
  <c r="F11" i="1"/>
  <c r="G28" i="1"/>
  <c r="G32" i="1"/>
  <c r="F44" i="1"/>
  <c r="F21" i="1"/>
  <c r="F25" i="1"/>
  <c r="G38" i="1"/>
  <c r="G42" i="1"/>
  <c r="F52" i="1"/>
  <c r="F58" i="1"/>
  <c r="G13" i="1"/>
  <c r="G17" i="1"/>
  <c r="F10" i="1"/>
  <c r="G19" i="1"/>
  <c r="G21" i="1"/>
  <c r="G23" i="1"/>
  <c r="G25" i="1"/>
  <c r="F35" i="1"/>
  <c r="F37" i="1"/>
  <c r="F39" i="1"/>
  <c r="F41" i="1"/>
  <c r="G52" i="1"/>
  <c r="G54" i="1"/>
  <c r="G56" i="1"/>
  <c r="G58" i="1"/>
  <c r="P30" i="1" l="1"/>
  <c r="N44" i="1"/>
  <c r="N3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<sst xmlns="http://schemas.openxmlformats.org/spreadsheetml/2006/main" count="657" uniqueCount="80">
  <si>
    <t>/Flowcell/Project/Sample/@name</t>
  </si>
  <si>
    <t>/Flowcell/Project/Sample/Barcode/Lane/PerfectBarcodeCount/#agg</t>
  </si>
  <si>
    <t>Undetermined</t>
  </si>
  <si>
    <t>all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</si>
  <si>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</si>
  <si>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</si>
  <si>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</si>
  <si>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</si>
  <si>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</si>
  <si>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</si>
  <si>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</si>
  <si>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</si>
  <si>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</si>
  <si>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</si>
  <si>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</si>
  <si>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</si>
  <si>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</si>
  <si>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</si>
  <si>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</si>
  <si>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</si>
  <si>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</si>
  <si>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</si>
  <si>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</si>
  <si>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</si>
  <si>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</si>
  <si>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</si>
  <si>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</si>
  <si>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</si>
  <si>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</si>
  <si>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</si>
  <si>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</si>
  <si>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</si>
  <si>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</si>
  <si>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</si>
  <si>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</si>
  <si>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</si>
  <si>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</si>
  <si>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</si>
  <si>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</si>
  <si>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</si>
  <si>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i37</t>
  </si>
  <si>
    <t>i38</t>
  </si>
  <si>
    <t>i39</t>
  </si>
  <si>
    <t>i40</t>
  </si>
  <si>
    <t>i41</t>
  </si>
  <si>
    <t>i42</t>
  </si>
  <si>
    <t>i43</t>
  </si>
  <si>
    <t>i44</t>
  </si>
  <si>
    <t>i45</t>
  </si>
  <si>
    <t>i46</t>
  </si>
  <si>
    <t>i47</t>
  </si>
  <si>
    <t>i48</t>
  </si>
  <si>
    <t>i49</t>
  </si>
  <si>
    <t>i50</t>
  </si>
  <si>
    <t>i51</t>
  </si>
  <si>
    <t>i52</t>
  </si>
  <si>
    <t>i53</t>
  </si>
  <si>
    <t>i54</t>
  </si>
  <si>
    <t>i55</t>
  </si>
  <si>
    <t>i56</t>
  </si>
  <si>
    <t>i57</t>
  </si>
  <si>
    <t>i58</t>
  </si>
  <si>
    <t>i59</t>
  </si>
  <si>
    <t>i60</t>
  </si>
  <si>
    <t>i61</t>
  </si>
  <si>
    <t>i62</t>
  </si>
  <si>
    <t>i63</t>
  </si>
  <si>
    <t>i64</t>
  </si>
  <si>
    <t>i65</t>
  </si>
  <si>
    <t>i66</t>
  </si>
  <si>
    <t>i67</t>
  </si>
  <si>
    <t>i68</t>
  </si>
  <si>
    <t>i69</t>
  </si>
  <si>
    <t>i70</t>
  </si>
  <si>
    <t>i71</t>
  </si>
  <si>
    <t>i72</t>
  </si>
  <si>
    <t>i73</t>
  </si>
  <si>
    <t>i74</t>
  </si>
  <si>
    <t>i75</t>
  </si>
  <si>
    <t>i76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</si>
</sst>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7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626"/>
  <sheetViews>
    <sheetView tabSelected="1" topLeftCell="I17" workbookViewId="0">
      <selection activeCell="P35" sqref="P35"/>
    </sheetView>
  </sheetViews>
  <sheetFormatPr baseColWidth="10" defaultRowHeight="16" x14ac:dyDescent="0.2"/>
  <cols>
    <col min="1" max="1" width="29.5" bestFit="1" customWidth="1"/>
  </cols>
  <sheetData>
    <row r="2" spans="1:7" x14ac:dyDescent="0.2">
      <c r="A2" s="1" t="s">
        <v>0</v>
      </c>
      <c r="B2" s="1" t="s">
        <v>1</v>
      </c>
    </row>
    <row r="3" spans="1:7" x14ac:dyDescent="0.2">
      <c r="A3" t="s">
        <v>2</v>
      </c>
      <c r="B3">
        <v>7875356</v>
      </c>
      <c r="C3">
        <f>SUM(B3:B6)</f>
        <v>31576511</v>
      </c>
    </row>
    <row r="4" spans="1:7" x14ac:dyDescent="0.2">
      <c r="A4" t="s">
        <v>2</v>
      </c>
      <c r="B4">
        <v>7878639</v>
      </c>
    </row>
    <row r="5" spans="1:7" x14ac:dyDescent="0.2">
      <c r="A5" t="s">
        <v>2</v>
      </c>
      <c r="B5">
        <v>7966435</v>
      </c>
    </row>
    <row r="6" spans="1:7" x14ac:dyDescent="0.2">
      <c r="A6" t="s">
        <v>2</v>
      </c>
      <c r="B6">
        <v>7856081</v>
      </c>
    </row>
    <row r="7" spans="1:7" x14ac:dyDescent="0.2">
      <c r="A7" t="s">
        <v>2</v>
      </c>
      <c r="B7">
        <v>7875356</v>
      </c>
    </row>
    <row r="8" spans="1:7" x14ac:dyDescent="0.2">
      <c r="A8" t="s">
        <v>2</v>
      </c>
      <c r="B8">
        <v>7878639</v>
      </c>
    </row>
    <row r="9" spans="1:7" x14ac:dyDescent="0.2">
      <c r="A9" t="s">
        <v>2</v>
      </c>
      <c r="B9">
        <v>7966435</v>
      </c>
      <c r="F9" t="str" cm="1">
        <f t="array" aca="1" ref="F9" ca="1">INDIRECT("A" &amp; (ROW() -9) * 8 + 9)</f>
        <v>Undetermined</v>
      </c>
      <c r="G9" cm="1">
        <f t="array" aca="1" ref="G9" ca="1">INDIRECT("C" &amp; (ROW() -9) * 8 + 3)</f>
        <v>31576511</v>
      </c>
    </row>
    <row r="10" spans="1:7" x14ac:dyDescent="0.2">
      <c r="A10" t="s">
        <v>2</v>
      </c>
      <c r="B10">
        <v>7856081</v>
      </c>
      <c r="F10" t="str" cm="1">
        <f t="array" aca="1" ref="F10" ca="1">INDIRECT("A" &amp; (ROW() -9) * 8 + 9)</f>
        <v>i1</v>
      </c>
      <c r="G10" cm="1">
        <f t="array" aca="1" ref="G10" ca="1">INDIRECT("C" &amp; (ROW() -9) * 8 + 3)</f>
        <v>9</v>
      </c>
    </row>
    <row r="11" spans="1:7" x14ac:dyDescent="0.2">
      <c r="A11" t="s">
        <v>4</v>
      </c>
      <c r="B11">
        <v>1</v>
      </c>
      <c r="C11">
        <f>SUM(B11:B14)</f>
        <v>9</v>
      </c>
      <c r="F11" t="str" cm="1">
        <f t="array" aca="1" ref="F11" ca="1">INDIRECT("A" &amp; (ROW() -9) * 8 + 9)</f>
        <v>i2</v>
      </c>
      <c r="G11" cm="1">
        <f t="array" aca="1" ref="G11" ca="1">INDIRECT("C" &amp; (ROW() -9) * 8 + 3)</f>
        <v>12</v>
      </c>
    </row>
    <row r="12" spans="1:7" x14ac:dyDescent="0.2">
      <c r="A12" t="s">
        <v>4</v>
      </c>
      <c r="B12">
        <v>3</v>
      </c>
      <c r="F12" t="str" cm="1">
        <f t="array" aca="1" ref="F12" ca="1">INDIRECT("A" &amp; (ROW() -9) * 8 + 9)</f>
        <v>i3</v>
      </c>
      <c r="G12" cm="1">
        <f t="array" aca="1" ref="G12" ca="1">INDIRECT("C" &amp; (ROW() -9) * 8 + 3)</f>
        <v>878</v>
      </c>
    </row>
    <row r="13" spans="1:7" x14ac:dyDescent="0.2">
      <c r="A13" t="s">
        <v>4</v>
      </c>
      <c r="B13">
        <v>3</v>
      </c>
      <c r="F13" t="str" cm="1">
        <f t="array" aca="1" ref="F13" ca="1">INDIRECT("A" &amp; (ROW() -9) * 8 + 9)</f>
        <v>i4</v>
      </c>
      <c r="G13" cm="1">
        <f t="array" aca="1" ref="G13" ca="1">INDIRECT("C" &amp; (ROW() -9) * 8 + 3)</f>
        <v>123</v>
      </c>
    </row>
    <row r="14" spans="1:7" x14ac:dyDescent="0.2">
      <c r="A14" t="s">
        <v>4</v>
      </c>
      <c r="B14">
        <v>2</v>
      </c>
      <c r="F14" t="str" cm="1">
        <f t="array" aca="1" ref="F14" ca="1">INDIRECT("A" &amp; (ROW() -9) * 8 + 9)</f>
        <v>i5</v>
      </c>
      <c r="G14" cm="1">
        <f t="array" aca="1" ref="G14" ca="1">INDIRECT("C" &amp; (ROW() -9) * 8 + 3)</f>
        <v>2275110</v>
      </c>
    </row>
    <row r="15" spans="1:7" x14ac:dyDescent="0.2">
      <c r="A15" t="s">
        <v>4</v>
      </c>
      <c r="B15">
        <v>1</v>
      </c>
      <c r="F15" t="str" cm="1">
        <f t="array" aca="1" ref="F15" ca="1">INDIRECT("A" &amp; (ROW() -9) * 8 + 9)</f>
        <v>i6</v>
      </c>
      <c r="G15" cm="1">
        <f t="array" aca="1" ref="G15" ca="1">INDIRECT("C" &amp; (ROW() -9) * 8 + 3)</f>
        <v>2236467</v>
      </c>
    </row>
    <row r="16" spans="1:7" x14ac:dyDescent="0.2">
      <c r="A16" t="s">
        <v>4</v>
      </c>
      <c r="B16">
        <v>3</v>
      </c>
      <c r="F16" t="str" cm="1">
        <f t="array" aca="1" ref="F16" ca="1">INDIRECT("A" &amp; (ROW() -9) * 8 + 9)</f>
        <v>i7</v>
      </c>
      <c r="G16" cm="1">
        <f t="array" aca="1" ref="G16" ca="1">INDIRECT("C" &amp; (ROW() -9) * 8 + 3)</f>
        <v>3578343</v>
      </c>
    </row>
    <row r="17" spans="1:16" x14ac:dyDescent="0.2">
      <c r="A17" t="s">
        <v>4</v>
      </c>
      <c r="B17">
        <v>3</v>
      </c>
      <c r="F17" t="str" cm="1">
        <f t="array" aca="1" ref="F17" ca="1">INDIRECT("A" &amp; (ROW() -9) * 8 + 9)</f>
        <v>i8</v>
      </c>
      <c r="G17" cm="1">
        <f t="array" aca="1" ref="G17" ca="1">INDIRECT("C" &amp; (ROW() -9) * 8 + 3)</f>
        <v>3076957</v>
      </c>
    </row>
    <row r="18" spans="1:16" x14ac:dyDescent="0.2">
      <c r="A18" t="s">
        <v>4</v>
      </c>
      <c r="B18">
        <v>2</v>
      </c>
      <c r="F18" t="str" cm="1">
        <f t="array" aca="1" ref="F18" ca="1">INDIRECT("A" &amp; (ROW() -9) * 8 + 9)</f>
        <v>i9</v>
      </c>
      <c r="G18" cm="1">
        <f t="array" aca="1" ref="G18" ca="1">INDIRECT("C" &amp; (ROW() -9) * 8 + 3)</f>
        <v>2729455</v>
      </c>
    </row>
    <row r="19" spans="1:16" x14ac:dyDescent="0.2">
      <c r="A19" t="s">
        <v>5</v>
      </c>
      <c r="B19">
        <v>3</v>
      </c>
      <c r="C19">
        <f>SUM(B19:B22)</f>
        <v>12</v>
      </c>
      <c r="F19" t="str" cm="1">
        <f t="array" aca="1" ref="F19" ca="1">INDIRECT("A" &amp; (ROW() -9) * 8 + 9)</f>
        <v>i10</v>
      </c>
      <c r="G19" cm="1">
        <f t="array" aca="1" ref="G19" ca="1">INDIRECT("C" &amp; (ROW() -9) * 8 + 3)</f>
        <v>3045049</v>
      </c>
      <c r="J19" t="s">
        <v>2</v>
      </c>
      <c r="K19">
        <v>31576511</v>
      </c>
      <c r="L19">
        <f>K19/$K$50</f>
        <v>0.21704014125306884</v>
      </c>
    </row>
    <row r="20" spans="1:16" x14ac:dyDescent="0.2">
      <c r="A20" t="s">
        <v>5</v>
      </c>
      <c r="B20">
        <v>4</v>
      </c>
      <c r="F20" t="str" cm="1">
        <f t="array" aca="1" ref="F20" ca="1">INDIRECT("A" &amp; (ROW() -9) * 8 + 9)</f>
        <v>i11</v>
      </c>
      <c r="G20" cm="1">
        <f t="array" aca="1" ref="G20" ca="1">INDIRECT("C" &amp; (ROW() -9) * 8 + 3)</f>
        <v>2750868</v>
      </c>
      <c r="I20" s="2">
        <v>1</v>
      </c>
      <c r="J20" s="2" t="s">
        <v>8</v>
      </c>
      <c r="K20" s="2">
        <v>2275110</v>
      </c>
      <c r="L20" s="2">
        <f>K20/$K$50</f>
        <v>1.5637896022339816E-2</v>
      </c>
      <c r="O20">
        <f>SUM(K20:K29)</f>
        <v>32071615</v>
      </c>
      <c r="P20">
        <f>SUM(L20:L29)</f>
        <v>0.22044322280615619</v>
      </c>
    </row>
    <row r="21" spans="1:16" x14ac:dyDescent="0.2">
      <c r="A21" t="s">
        <v>5</v>
      </c>
      <c r="B21">
        <v>2</v>
      </c>
      <c r="F21" t="str" cm="1">
        <f t="array" aca="1" ref="F21" ca="1">INDIRECT("A" &amp; (ROW() -9) * 8 + 9)</f>
        <v>i12</v>
      </c>
      <c r="G21" cm="1">
        <f t="array" aca="1" ref="G21" ca="1">INDIRECT("C" &amp; (ROW() -9) * 8 + 3)</f>
        <v>3193873</v>
      </c>
      <c r="I21" s="3">
        <v>2</v>
      </c>
      <c r="J21" s="3" t="s">
        <v>9</v>
      </c>
      <c r="K21" s="3">
        <v>2236467</v>
      </c>
      <c r="L21" s="3">
        <f t="shared" ref="L21:L48" si="0">K21/$K$50</f>
        <v>1.5372284594324786E-2</v>
      </c>
    </row>
    <row r="22" spans="1:16" x14ac:dyDescent="0.2">
      <c r="A22" t="s">
        <v>5</v>
      </c>
      <c r="B22">
        <v>3</v>
      </c>
      <c r="F22" t="str" cm="1">
        <f t="array" aca="1" ref="F22" ca="1">INDIRECT("A" &amp; (ROW() -9) * 8 + 9)</f>
        <v>i13</v>
      </c>
      <c r="G22" cm="1">
        <f t="array" aca="1" ref="G22" ca="1">INDIRECT("C" &amp; (ROW() -9) * 8 + 3)</f>
        <v>4281862</v>
      </c>
      <c r="I22" s="3">
        <v>3</v>
      </c>
      <c r="J22" s="3" t="s">
        <v>10</v>
      </c>
      <c r="K22" s="3">
        <v>3578343</v>
      </c>
      <c r="L22" s="3">
        <f t="shared" si="0"/>
        <v>2.4595626482353611E-2</v>
      </c>
    </row>
    <row r="23" spans="1:16" x14ac:dyDescent="0.2">
      <c r="A23" t="s">
        <v>5</v>
      </c>
      <c r="B23">
        <v>3</v>
      </c>
      <c r="F23" t="str" cm="1">
        <f t="array" aca="1" ref="F23" ca="1">INDIRECT("A" &amp; (ROW() -9) * 8 + 9)</f>
        <v>i14</v>
      </c>
      <c r="G23" cm="1">
        <f t="array" aca="1" ref="G23" ca="1">INDIRECT("C" &amp; (ROW() -9) * 8 + 3)</f>
        <v>4903631</v>
      </c>
      <c r="I23" s="2">
        <v>4</v>
      </c>
      <c r="J23" s="2" t="s">
        <v>11</v>
      </c>
      <c r="K23" s="2">
        <v>3076957</v>
      </c>
      <c r="L23" s="2">
        <f t="shared" si="0"/>
        <v>2.1149365802625216E-2</v>
      </c>
    </row>
    <row r="24" spans="1:16" x14ac:dyDescent="0.2">
      <c r="A24" t="s">
        <v>5</v>
      </c>
      <c r="B24">
        <v>4</v>
      </c>
      <c r="F24" t="str" cm="1">
        <f t="array" aca="1" ref="F24" ca="1">INDIRECT("A" &amp; (ROW() -9) * 8 + 9)</f>
        <v>i15</v>
      </c>
      <c r="G24" cm="1">
        <f t="array" aca="1" ref="G24" ca="1">INDIRECT("C" &amp; (ROW() -9) * 8 + 3)</f>
        <v>8</v>
      </c>
      <c r="I24" s="2">
        <v>5</v>
      </c>
      <c r="J24" s="2" t="s">
        <v>12</v>
      </c>
      <c r="K24" s="2">
        <v>2729455</v>
      </c>
      <c r="L24" s="2">
        <f t="shared" si="0"/>
        <v>1.8760821888900107E-2</v>
      </c>
    </row>
    <row r="25" spans="1:16" x14ac:dyDescent="0.2">
      <c r="A25" t="s">
        <v>5</v>
      </c>
      <c r="B25">
        <v>2</v>
      </c>
      <c r="F25" t="str" cm="1">
        <f t="array" aca="1" ref="F25" ca="1">INDIRECT("A" &amp; (ROW() -9) * 8 + 9)</f>
        <v>i16</v>
      </c>
      <c r="G25" cm="1">
        <f t="array" aca="1" ref="G25" ca="1">INDIRECT("C" &amp; (ROW() -9) * 8 + 3)</f>
        <v>49</v>
      </c>
      <c r="I25" s="3">
        <v>6</v>
      </c>
      <c r="J25" s="3" t="s">
        <v>13</v>
      </c>
      <c r="K25" s="3">
        <v>3045049</v>
      </c>
      <c r="L25" s="3">
        <f t="shared" si="0"/>
        <v>2.0930047182303201E-2</v>
      </c>
    </row>
    <row r="26" spans="1:16" x14ac:dyDescent="0.2">
      <c r="A26" t="s">
        <v>5</v>
      </c>
      <c r="B26">
        <v>3</v>
      </c>
      <c r="F26" t="str" cm="1">
        <f t="array" aca="1" ref="F26" ca="1">INDIRECT("A" &amp; (ROW() -9) * 8 + 9)</f>
        <v>i17</v>
      </c>
      <c r="G26" cm="1">
        <f t="array" aca="1" ref="G26" ca="1">INDIRECT("C" &amp; (ROW() -9) * 8 + 3)</f>
        <v>4974175</v>
      </c>
      <c r="I26" s="3">
        <v>7</v>
      </c>
      <c r="J26" s="3" t="s">
        <v>14</v>
      </c>
      <c r="K26" s="3">
        <v>2750868</v>
      </c>
      <c r="L26" s="3">
        <f t="shared" si="0"/>
        <v>1.8908003461451044E-2</v>
      </c>
    </row>
    <row r="27" spans="1:16" x14ac:dyDescent="0.2">
      <c r="A27" t="s">
        <v>6</v>
      </c>
      <c r="B27">
        <v>219</v>
      </c>
      <c r="C27">
        <f>SUM(B27:B30)</f>
        <v>878</v>
      </c>
      <c r="F27" t="str" cm="1">
        <f t="array" aca="1" ref="F27" ca="1">INDIRECT("A" &amp; (ROW() -9) * 8 + 9)</f>
        <v>i18</v>
      </c>
      <c r="G27" cm="1">
        <f t="array" aca="1" ref="G27" ca="1">INDIRECT("C" &amp; (ROW() -9) * 8 + 3)</f>
        <v>3162693</v>
      </c>
      <c r="I27" s="2">
        <v>8</v>
      </c>
      <c r="J27" s="2" t="s">
        <v>15</v>
      </c>
      <c r="K27" s="2">
        <v>3193873</v>
      </c>
      <c r="L27" s="2">
        <f t="shared" si="0"/>
        <v>2.19529841996908E-2</v>
      </c>
    </row>
    <row r="28" spans="1:16" x14ac:dyDescent="0.2">
      <c r="A28" t="s">
        <v>6</v>
      </c>
      <c r="B28">
        <v>244</v>
      </c>
      <c r="F28" t="str" cm="1">
        <f t="array" aca="1" ref="F28" ca="1">INDIRECT("A" &amp; (ROW() -9) * 8 + 9)</f>
        <v>i19</v>
      </c>
      <c r="G28" cm="1">
        <f t="array" aca="1" ref="G28" ca="1">INDIRECT("C" &amp; (ROW() -9) * 8 + 3)</f>
        <v>4424361</v>
      </c>
      <c r="I28" s="2">
        <v>9</v>
      </c>
      <c r="J28" s="2" t="s">
        <v>16</v>
      </c>
      <c r="K28" s="2">
        <v>4281862</v>
      </c>
      <c r="L28" s="2">
        <f t="shared" si="0"/>
        <v>2.9431241890725289E-2</v>
      </c>
    </row>
    <row r="29" spans="1:16" x14ac:dyDescent="0.2">
      <c r="A29" t="s">
        <v>6</v>
      </c>
      <c r="B29">
        <v>197</v>
      </c>
      <c r="F29" t="str" cm="1">
        <f t="array" aca="1" ref="F29" ca="1">INDIRECT("A" &amp; (ROW() -9) * 8 + 9)</f>
        <v>i20</v>
      </c>
      <c r="G29" cm="1">
        <f t="array" aca="1" ref="G29" ca="1">INDIRECT("C" &amp; (ROW() -9) * 8 + 3)</f>
        <v>2763806</v>
      </c>
      <c r="I29" s="3">
        <v>10</v>
      </c>
      <c r="J29" s="3" t="s">
        <v>17</v>
      </c>
      <c r="K29" s="3">
        <v>4903631</v>
      </c>
      <c r="L29" s="3">
        <f t="shared" si="0"/>
        <v>3.3704951281442311E-2</v>
      </c>
    </row>
    <row r="30" spans="1:16" x14ac:dyDescent="0.2">
      <c r="A30" t="s">
        <v>6</v>
      </c>
      <c r="B30">
        <v>218</v>
      </c>
      <c r="F30" t="str" cm="1">
        <f t="array" aca="1" ref="F30" ca="1">INDIRECT("A" &amp; (ROW() -9) * 8 + 9)</f>
        <v>i21</v>
      </c>
      <c r="G30" cm="1">
        <f t="array" aca="1" ref="G30" ca="1">INDIRECT("C" &amp; (ROW() -9) * 8 + 3)</f>
        <v>4770561</v>
      </c>
      <c r="I30" s="2">
        <v>1</v>
      </c>
      <c r="J30" s="2" t="s">
        <v>20</v>
      </c>
      <c r="K30" s="2">
        <v>4974175</v>
      </c>
      <c r="L30" s="2">
        <f t="shared" si="0"/>
        <v>3.4189833215502619E-2</v>
      </c>
      <c r="M30" s="2">
        <f>SUM(K30:K31)</f>
        <v>8136868</v>
      </c>
      <c r="N30" s="2">
        <f>SUM(L30:L31)</f>
        <v>5.5928502679652478E-2</v>
      </c>
      <c r="O30">
        <f>SUM(K30:K49)</f>
        <v>81838837</v>
      </c>
      <c r="P30">
        <f>SUM(L30:L49)</f>
        <v>0.56251663594077506</v>
      </c>
    </row>
    <row r="31" spans="1:16" x14ac:dyDescent="0.2">
      <c r="A31" t="s">
        <v>6</v>
      </c>
      <c r="B31">
        <v>219</v>
      </c>
      <c r="F31" t="str" cm="1">
        <f t="array" aca="1" ref="F31" ca="1">INDIRECT("A" &amp; (ROW() -9) * 8 + 9)</f>
        <v>i22</v>
      </c>
      <c r="G31" cm="1">
        <f t="array" aca="1" ref="G31" ca="1">INDIRECT("C" &amp; (ROW() -9) * 8 + 3)</f>
        <v>4156009</v>
      </c>
      <c r="I31" s="2">
        <v>1</v>
      </c>
      <c r="J31" s="2" t="s">
        <v>21</v>
      </c>
      <c r="K31" s="2">
        <v>3162693</v>
      </c>
      <c r="L31" s="2">
        <f t="shared" si="0"/>
        <v>2.1738669464149856E-2</v>
      </c>
      <c r="M31" s="2"/>
      <c r="N31" s="2"/>
    </row>
    <row r="32" spans="1:16" x14ac:dyDescent="0.2">
      <c r="A32" t="s">
        <v>6</v>
      </c>
      <c r="B32">
        <v>244</v>
      </c>
      <c r="F32" t="str" cm="1">
        <f t="array" aca="1" ref="F32" ca="1">INDIRECT("A" &amp; (ROW() -9) * 8 + 9)</f>
        <v>i23</v>
      </c>
      <c r="G32" cm="1">
        <f t="array" aca="1" ref="G32" ca="1">INDIRECT("C" &amp; (ROW() -9) * 8 + 3)</f>
        <v>3362599</v>
      </c>
      <c r="I32" s="3">
        <v>2</v>
      </c>
      <c r="J32" s="3" t="s">
        <v>22</v>
      </c>
      <c r="K32" s="3">
        <v>4424361</v>
      </c>
      <c r="L32" s="3">
        <f t="shared" si="0"/>
        <v>3.0410704222343276E-2</v>
      </c>
      <c r="M32" s="3">
        <f>SUM(K32:K33)</f>
        <v>7188167</v>
      </c>
      <c r="N32" s="3">
        <f>SUM(L32:L33)</f>
        <v>4.9407636614148029E-2</v>
      </c>
    </row>
    <row r="33" spans="1:14" x14ac:dyDescent="0.2">
      <c r="A33" t="s">
        <v>6</v>
      </c>
      <c r="B33">
        <v>197</v>
      </c>
      <c r="F33" t="str" cm="1">
        <f t="array" aca="1" ref="F33" ca="1">INDIRECT("A" &amp; (ROW() -9) * 8 + 9)</f>
        <v>i24</v>
      </c>
      <c r="G33" cm="1">
        <f t="array" aca="1" ref="G33" ca="1">INDIRECT("C" &amp; (ROW() -9) * 8 + 3)</f>
        <v>4160208</v>
      </c>
      <c r="I33" s="3">
        <v>2</v>
      </c>
      <c r="J33" s="3" t="s">
        <v>23</v>
      </c>
      <c r="K33" s="3">
        <v>2763806</v>
      </c>
      <c r="L33" s="3">
        <f t="shared" si="0"/>
        <v>1.8996932391804756E-2</v>
      </c>
      <c r="M33" s="3"/>
      <c r="N33" s="3"/>
    </row>
    <row r="34" spans="1:14" x14ac:dyDescent="0.2">
      <c r="A34" t="s">
        <v>6</v>
      </c>
      <c r="B34">
        <v>218</v>
      </c>
      <c r="F34" t="str" cm="1">
        <f t="array" aca="1" ref="F34" ca="1">INDIRECT("A" &amp; (ROW() -9) * 8 + 9)</f>
        <v>i25</v>
      </c>
      <c r="G34" cm="1">
        <f t="array" aca="1" ref="G34" ca="1">INDIRECT("C" &amp; (ROW() -9) * 8 + 3)</f>
        <v>5229675</v>
      </c>
      <c r="I34" s="3">
        <v>3</v>
      </c>
      <c r="J34" s="3" t="s">
        <v>24</v>
      </c>
      <c r="K34" s="3">
        <v>4770561</v>
      </c>
      <c r="L34" s="3">
        <f t="shared" si="0"/>
        <v>3.2790298880594544E-2</v>
      </c>
      <c r="M34" s="3">
        <f>SUM(K34:K35)</f>
        <v>8926570</v>
      </c>
      <c r="N34" s="3">
        <f>SUM(L34:L35)</f>
        <v>6.135649418979211E-2</v>
      </c>
    </row>
    <row r="35" spans="1:14" x14ac:dyDescent="0.2">
      <c r="A35" t="s">
        <v>7</v>
      </c>
      <c r="B35">
        <v>36</v>
      </c>
      <c r="C35">
        <f>SUM(B35:B38)</f>
        <v>123</v>
      </c>
      <c r="F35" t="str" cm="1">
        <f t="array" aca="1" ref="F35" ca="1">INDIRECT("A" &amp; (ROW() -9) * 8 + 9)</f>
        <v>i26</v>
      </c>
      <c r="G35" cm="1">
        <f t="array" aca="1" ref="G35" ca="1">INDIRECT("C" &amp; (ROW() -9) * 8 + 3)</f>
        <v>3815866</v>
      </c>
      <c r="I35" s="3">
        <v>3</v>
      </c>
      <c r="J35" s="3" t="s">
        <v>25</v>
      </c>
      <c r="K35" s="3">
        <v>4156009</v>
      </c>
      <c r="L35" s="3">
        <f t="shared" si="0"/>
        <v>2.8566195309197566E-2</v>
      </c>
      <c r="M35" s="3"/>
      <c r="N35" s="3"/>
    </row>
    <row r="36" spans="1:14" x14ac:dyDescent="0.2">
      <c r="A36" t="s">
        <v>7</v>
      </c>
      <c r="B36">
        <v>34</v>
      </c>
      <c r="F36" t="str" cm="1">
        <f t="array" aca="1" ref="F36" ca="1">INDIRECT("A" &amp; (ROW() -9) * 8 + 9)</f>
        <v>i27</v>
      </c>
      <c r="G36" cm="1">
        <f t="array" aca="1" ref="G36" ca="1">INDIRECT("C" &amp; (ROW() -9) * 8 + 3)</f>
        <v>3705311</v>
      </c>
      <c r="I36" s="2">
        <v>4</v>
      </c>
      <c r="J36" s="2" t="s">
        <v>26</v>
      </c>
      <c r="K36" s="2">
        <v>3362599</v>
      </c>
      <c r="L36" s="2">
        <f t="shared" si="0"/>
        <v>2.3112716979321369E-2</v>
      </c>
      <c r="M36" s="2">
        <f>SUM(K36:K37)</f>
        <v>7522807</v>
      </c>
      <c r="N36" s="2">
        <f>SUM(L36:L37)</f>
        <v>5.1707773981095474E-2</v>
      </c>
    </row>
    <row r="37" spans="1:14" x14ac:dyDescent="0.2">
      <c r="A37" t="s">
        <v>7</v>
      </c>
      <c r="B37">
        <v>31</v>
      </c>
      <c r="F37" t="str" cm="1">
        <f t="array" aca="1" ref="F37" ca="1">INDIRECT("A" &amp; (ROW() -9) * 8 + 9)</f>
        <v>i28</v>
      </c>
      <c r="G37" cm="1">
        <f t="array" aca="1" ref="G37" ca="1">INDIRECT("C" &amp; (ROW() -9) * 8 + 3)</f>
        <v>3624126</v>
      </c>
      <c r="I37" s="2">
        <v>4</v>
      </c>
      <c r="J37" s="2" t="s">
        <v>27</v>
      </c>
      <c r="K37" s="2">
        <v>4160208</v>
      </c>
      <c r="L37" s="2">
        <f t="shared" si="0"/>
        <v>2.8595057001774105E-2</v>
      </c>
      <c r="M37" s="2"/>
      <c r="N37" s="2"/>
    </row>
    <row r="38" spans="1:14" x14ac:dyDescent="0.2">
      <c r="A38" t="s">
        <v>7</v>
      </c>
      <c r="B38">
        <v>22</v>
      </c>
      <c r="F38" t="str" cm="1">
        <f t="array" aca="1" ref="F38" ca="1">INDIRECT("A" &amp; (ROW() -9) * 8 + 9)</f>
        <v>i29</v>
      </c>
      <c r="G38" cm="1">
        <f t="array" aca="1" ref="G38" ca="1">INDIRECT("C" &amp; (ROW() -9) * 8 + 3)</f>
        <v>4471505</v>
      </c>
      <c r="I38" s="2">
        <v>5</v>
      </c>
      <c r="J38" s="2" t="s">
        <v>28</v>
      </c>
      <c r="K38" s="2">
        <v>5229675</v>
      </c>
      <c r="L38" s="2">
        <f t="shared" si="0"/>
        <v>3.5946004316551719E-2</v>
      </c>
      <c r="M38" s="2">
        <f>SUM(K38:K39)</f>
        <v>9045541</v>
      </c>
      <c r="N38" s="2">
        <f>SUM(L38:L39)</f>
        <v>6.2174237563815252E-2</v>
      </c>
    </row>
    <row r="39" spans="1:14" x14ac:dyDescent="0.2">
      <c r="A39" t="s">
        <v>7</v>
      </c>
      <c r="B39">
        <v>36</v>
      </c>
      <c r="F39" t="str" cm="1">
        <f t="array" aca="1" ref="F39" ca="1">INDIRECT("A" &amp; (ROW() -9) * 8 + 9)</f>
        <v>i30</v>
      </c>
      <c r="G39" cm="1">
        <f t="array" aca="1" ref="G39" ca="1">INDIRECT("C" &amp; (ROW() -9) * 8 + 3)</f>
        <v>4165107</v>
      </c>
      <c r="I39" s="2">
        <v>5</v>
      </c>
      <c r="J39" s="2" t="s">
        <v>29</v>
      </c>
      <c r="K39" s="2">
        <v>3815866</v>
      </c>
      <c r="L39" s="2">
        <f t="shared" si="0"/>
        <v>2.6228233247263536E-2</v>
      </c>
      <c r="M39" s="2"/>
      <c r="N39" s="2"/>
    </row>
    <row r="40" spans="1:14" x14ac:dyDescent="0.2">
      <c r="A40" t="s">
        <v>7</v>
      </c>
      <c r="B40">
        <v>34</v>
      </c>
      <c r="F40" t="str" cm="1">
        <f t="array" aca="1" ref="F40" ca="1">INDIRECT("A" &amp; (ROW() -9) * 8 + 9)</f>
        <v>i31</v>
      </c>
      <c r="G40" cm="1">
        <f t="array" aca="1" ref="G40" ca="1">INDIRECT("C" &amp; (ROW() -9) * 8 + 3)</f>
        <v>4671287</v>
      </c>
      <c r="I40" s="3">
        <v>6</v>
      </c>
      <c r="J40" s="3" t="s">
        <v>30</v>
      </c>
      <c r="K40" s="3">
        <v>3705311</v>
      </c>
      <c r="L40" s="3">
        <f t="shared" si="0"/>
        <v>2.5468336980819375E-2</v>
      </c>
      <c r="M40" s="3">
        <f>SUM(K40:K41)</f>
        <v>7329437</v>
      </c>
      <c r="N40" s="3">
        <f>SUM(L40:L41)</f>
        <v>5.0378651453463909E-2</v>
      </c>
    </row>
    <row r="41" spans="1:14" x14ac:dyDescent="0.2">
      <c r="A41" t="s">
        <v>7</v>
      </c>
      <c r="B41">
        <v>31</v>
      </c>
      <c r="F41" t="str" cm="1">
        <f t="array" aca="1" ref="F41" ca="1">INDIRECT("A" &amp; (ROW() -9) * 8 + 9)</f>
        <v>i32</v>
      </c>
      <c r="G41" cm="1">
        <f t="array" aca="1" ref="G41" ca="1">INDIRECT("C" &amp; (ROW() -9) * 8 + 3)</f>
        <v>3629931</v>
      </c>
      <c r="I41" s="3">
        <v>6</v>
      </c>
      <c r="J41" s="3" t="s">
        <v>31</v>
      </c>
      <c r="K41" s="3">
        <v>3624126</v>
      </c>
      <c r="L41" s="3">
        <f t="shared" si="0"/>
        <v>2.4910314472644534E-2</v>
      </c>
      <c r="M41" s="3"/>
      <c r="N41" s="3"/>
    </row>
    <row r="42" spans="1:14" x14ac:dyDescent="0.2">
      <c r="A42" t="s">
        <v>7</v>
      </c>
      <c r="B42">
        <v>22</v>
      </c>
      <c r="F42" t="str" cm="1">
        <f t="array" aca="1" ref="F42" ca="1">INDIRECT("A" &amp; (ROW() -9) * 8 + 9)</f>
        <v>i33</v>
      </c>
      <c r="G42" cm="1">
        <f t="array" aca="1" ref="G42" ca="1">INDIRECT("C" &amp; (ROW() -9) * 8 + 3)</f>
        <v>4047006</v>
      </c>
      <c r="I42" s="3">
        <v>7</v>
      </c>
      <c r="J42" s="3" t="s">
        <v>32</v>
      </c>
      <c r="K42" s="3">
        <v>4471505</v>
      </c>
      <c r="L42" s="3">
        <f t="shared" si="0"/>
        <v>3.0734747002726284E-2</v>
      </c>
      <c r="M42" s="3">
        <f>SUM(K42:K43)</f>
        <v>8636612</v>
      </c>
      <c r="N42" s="3">
        <f>SUM(L42:L43)</f>
        <v>5.9363477124751034E-2</v>
      </c>
    </row>
    <row r="43" spans="1:14" x14ac:dyDescent="0.2">
      <c r="A43" t="s">
        <v>8</v>
      </c>
      <c r="B43">
        <v>574428</v>
      </c>
      <c r="C43">
        <f>SUM(B43:B46)</f>
        <v>2275110</v>
      </c>
      <c r="F43" t="str" cm="1">
        <f t="array" aca="1" ref="F43" ca="1">INDIRECT("A" &amp; (ROW() -9) * 8 + 9)</f>
        <v>i34</v>
      </c>
      <c r="G43" cm="1">
        <f t="array" aca="1" ref="G43" ca="1">INDIRECT("C" &amp; (ROW() -9) * 8 + 3)</f>
        <v>3565691</v>
      </c>
      <c r="I43" s="3">
        <v>7</v>
      </c>
      <c r="J43" s="3" t="s">
        <v>33</v>
      </c>
      <c r="K43" s="3">
        <v>4165107</v>
      </c>
      <c r="L43" s="3">
        <f t="shared" si="0"/>
        <v>2.8628730122024749E-2</v>
      </c>
      <c r="M43" s="3"/>
      <c r="N43" s="3"/>
    </row>
    <row r="44" spans="1:14" x14ac:dyDescent="0.2">
      <c r="A44" t="s">
        <v>8</v>
      </c>
      <c r="B44">
        <v>565057</v>
      </c>
      <c r="F44" t="str" cm="1">
        <f t="array" aca="1" ref="F44" ca="1">INDIRECT("A" &amp; (ROW() -9) * 8 + 9)</f>
        <v>i35</v>
      </c>
      <c r="G44" cm="1">
        <f t="array" aca="1" ref="G44" ca="1">INDIRECT("C" &amp; (ROW() -9) * 8 + 3)</f>
        <v>4640769</v>
      </c>
      <c r="I44" s="2">
        <v>8</v>
      </c>
      <c r="J44" s="2" t="s">
        <v>34</v>
      </c>
      <c r="K44" s="2">
        <v>4671287</v>
      </c>
      <c r="L44" s="2">
        <f t="shared" si="0"/>
        <v>3.2107942207852673E-2</v>
      </c>
      <c r="M44" s="2">
        <f>SUM(K44:K45)</f>
        <v>8301218</v>
      </c>
      <c r="N44" s="2">
        <f>SUM(L44:L45)</f>
        <v>5.7058157162851772E-2</v>
      </c>
    </row>
    <row r="45" spans="1:14" x14ac:dyDescent="0.2">
      <c r="A45" t="s">
        <v>8</v>
      </c>
      <c r="B45">
        <v>572995</v>
      </c>
      <c r="F45" t="str" cm="1">
        <f t="array" aca="1" ref="F45" ca="1">INDIRECT("A" &amp; (ROW() -9) * 8 + 9)</f>
        <v>i36</v>
      </c>
      <c r="G45" cm="1">
        <f t="array" aca="1" ref="G45" ca="1">INDIRECT("C" &amp; (ROW() -9) * 8 + 3)</f>
        <v>4498151</v>
      </c>
      <c r="I45" s="2">
        <v>8</v>
      </c>
      <c r="J45" s="2" t="s">
        <v>35</v>
      </c>
      <c r="K45" s="2">
        <v>3629931</v>
      </c>
      <c r="L45" s="2">
        <f t="shared" si="0"/>
        <v>2.4950214954999096E-2</v>
      </c>
      <c r="M45" s="2"/>
      <c r="N45" s="2"/>
    </row>
    <row r="46" spans="1:14" x14ac:dyDescent="0.2">
      <c r="A46" t="s">
        <v>8</v>
      </c>
      <c r="B46">
        <v>562630</v>
      </c>
      <c r="F46" t="str" cm="1">
        <f t="array" aca="1" ref="F46" ca="1">INDIRECT("A" &amp; (ROW() -9) * 8 + 9)</f>
        <v>i37</v>
      </c>
      <c r="G46" cm="1">
        <f t="array" aca="1" ref="G46" ca="1">INDIRECT("C" &amp; (ROW() -9) * 8 + 3)</f>
        <v>1881</v>
      </c>
      <c r="I46" s="2">
        <v>9</v>
      </c>
      <c r="J46" s="2" t="s">
        <v>36</v>
      </c>
      <c r="K46" s="2">
        <v>4047006</v>
      </c>
      <c r="L46" s="2">
        <f t="shared" si="0"/>
        <v>2.7816966665253712E-2</v>
      </c>
      <c r="M46" s="2">
        <f>SUM(K46:K47)</f>
        <v>7612697</v>
      </c>
      <c r="N46" s="2">
        <f>SUM(L46:L47)</f>
        <v>5.2325630029131889E-2</v>
      </c>
    </row>
    <row r="47" spans="1:14" x14ac:dyDescent="0.2">
      <c r="A47" t="s">
        <v>8</v>
      </c>
      <c r="B47">
        <v>574428</v>
      </c>
      <c r="F47" t="str" cm="1">
        <f t="array" aca="1" ref="F47" ca="1">INDIRECT("A" &amp; (ROW() -9) * 8 + 9)</f>
        <v>i38</v>
      </c>
      <c r="G47" cm="1">
        <f t="array" aca="1" ref="G47" ca="1">INDIRECT("C" &amp; (ROW() -9) * 8 + 3)</f>
        <v>66</v>
      </c>
      <c r="I47" s="2">
        <v>9</v>
      </c>
      <c r="J47" s="2" t="s">
        <v>37</v>
      </c>
      <c r="K47" s="2">
        <v>3565691</v>
      </c>
      <c r="L47" s="2">
        <f t="shared" si="0"/>
        <v>2.4508663363878178E-2</v>
      </c>
      <c r="M47" s="2"/>
      <c r="N47" s="2"/>
    </row>
    <row r="48" spans="1:14" x14ac:dyDescent="0.2">
      <c r="A48" t="s">
        <v>8</v>
      </c>
      <c r="B48">
        <v>565057</v>
      </c>
      <c r="F48" t="str" cm="1">
        <f t="array" aca="1" ref="F48" ca="1">INDIRECT("A" &amp; (ROW() -9) * 8 + 9)</f>
        <v>i39</v>
      </c>
      <c r="G48" cm="1">
        <f t="array" aca="1" ref="G48" ca="1">INDIRECT("C" &amp; (ROW() -9) * 8 + 3)</f>
        <v>42</v>
      </c>
      <c r="I48" s="3">
        <v>10</v>
      </c>
      <c r="J48" s="3" t="s">
        <v>38</v>
      </c>
      <c r="K48" s="3">
        <v>4640769</v>
      </c>
      <c r="L48" s="3">
        <f t="shared" si="0"/>
        <v>3.1898177708197813E-2</v>
      </c>
      <c r="M48" s="3">
        <f>SUM(K48:K49)</f>
        <v>9138920</v>
      </c>
      <c r="N48" s="3">
        <f>SUM(L48:L49)</f>
        <v>6.2816075142073047E-2</v>
      </c>
    </row>
    <row r="49" spans="1:14" x14ac:dyDescent="0.2">
      <c r="A49" t="s">
        <v>8</v>
      </c>
      <c r="B49">
        <v>572995</v>
      </c>
      <c r="F49" t="str" cm="1">
        <f t="array" aca="1" ref="F49" ca="1">INDIRECT("A" &amp; (ROW() -9) * 8 + 9)</f>
        <v>i40</v>
      </c>
      <c r="G49" cm="1">
        <f t="array" aca="1" ref="G49" ca="1">INDIRECT("C" &amp; (ROW() -9) * 8 + 3)</f>
        <v>836</v>
      </c>
      <c r="I49" s="3">
        <v>10</v>
      </c>
      <c r="J49" s="3" t="s">
        <v>39</v>
      </c>
      <c r="K49" s="3">
        <v>4498151</v>
      </c>
      <c r="L49" s="3">
        <f>K49/$K$50</f>
        <v>3.0917897433875227E-2</v>
      </c>
      <c r="M49" s="3"/>
      <c r="N49" s="3"/>
    </row>
    <row r="50" spans="1:14" x14ac:dyDescent="0.2">
      <c r="A50" t="s">
        <v>8</v>
      </c>
      <c r="B50">
        <v>562630</v>
      </c>
      <c r="F50" t="str" cm="1">
        <f t="array" aca="1" ref="F50" ca="1">INDIRECT("A" &amp; (ROW() -9) * 8 + 9)</f>
        <v>i41</v>
      </c>
      <c r="G50" cm="1">
        <f t="array" aca="1" ref="G50" ca="1">INDIRECT("C" &amp; (ROW() -9) * 8 + 3)</f>
        <v>35</v>
      </c>
      <c r="K50">
        <f>SUM(K19:K49)</f>
        <v>145486963</v>
      </c>
    </row>
    <row r="51" spans="1:14" x14ac:dyDescent="0.2">
      <c r="A51" t="s">
        <v>9</v>
      </c>
      <c r="B51">
        <v>565103</v>
      </c>
      <c r="C51">
        <f>SUM(B51:B54)</f>
        <v>2236467</v>
      </c>
      <c r="F51" t="str" cm="1">
        <f t="array" aca="1" ref="F51" ca="1">INDIRECT("A" &amp; (ROW() -9) * 8 + 9)</f>
        <v>i42</v>
      </c>
      <c r="G51" cm="1">
        <f t="array" aca="1" ref="G51" ca="1">INDIRECT("C" &amp; (ROW() -9) * 8 + 3)</f>
        <v>469</v>
      </c>
    </row>
    <row r="52" spans="1:14" x14ac:dyDescent="0.2">
      <c r="A52" t="s">
        <v>9</v>
      </c>
      <c r="B52">
        <v>552744</v>
      </c>
      <c r="F52" t="str" cm="1">
        <f t="array" aca="1" ref="F52" ca="1">INDIRECT("A" &amp; (ROW() -9) * 8 + 9)</f>
        <v>i43</v>
      </c>
      <c r="G52" cm="1">
        <f t="array" aca="1" ref="G52" ca="1">INDIRECT("C" &amp; (ROW() -9) * 8 + 3)</f>
        <v>337</v>
      </c>
    </row>
    <row r="53" spans="1:14" x14ac:dyDescent="0.2">
      <c r="A53" t="s">
        <v>9</v>
      </c>
      <c r="B53">
        <v>565578</v>
      </c>
      <c r="F53" t="str" cm="1">
        <f t="array" aca="1" ref="F53" ca="1">INDIRECT("A" &amp; (ROW() -9) * 8 + 9)</f>
        <v>i44</v>
      </c>
      <c r="G53" cm="1">
        <f t="array" aca="1" ref="G53" ca="1">INDIRECT("C" &amp; (ROW() -9) * 8 + 3)</f>
        <v>13</v>
      </c>
    </row>
    <row r="54" spans="1:14" x14ac:dyDescent="0.2">
      <c r="A54" t="s">
        <v>9</v>
      </c>
      <c r="B54">
        <v>553042</v>
      </c>
      <c r="F54" t="str" cm="1">
        <f t="array" aca="1" ref="F54" ca="1">INDIRECT("A" &amp; (ROW() -9) * 8 + 9)</f>
        <v>i45</v>
      </c>
      <c r="G54" cm="1">
        <f t="array" aca="1" ref="G54" ca="1">INDIRECT("C" &amp; (ROW() -9) * 8 + 3)</f>
        <v>141</v>
      </c>
    </row>
    <row r="55" spans="1:14" x14ac:dyDescent="0.2">
      <c r="A55" t="s">
        <v>9</v>
      </c>
      <c r="B55">
        <v>565103</v>
      </c>
      <c r="F55" t="str" cm="1">
        <f t="array" aca="1" ref="F55" ca="1">INDIRECT("A" &amp; (ROW() -9) * 8 + 9)</f>
        <v>i46</v>
      </c>
      <c r="G55" cm="1">
        <f t="array" aca="1" ref="G55" ca="1">INDIRECT("C" &amp; (ROW() -9) * 8 + 3)</f>
        <v>53</v>
      </c>
    </row>
    <row r="56" spans="1:14" x14ac:dyDescent="0.2">
      <c r="A56" t="s">
        <v>9</v>
      </c>
      <c r="B56">
        <v>552744</v>
      </c>
      <c r="F56" t="str" cm="1">
        <f t="array" aca="1" ref="F56" ca="1">INDIRECT("A" &amp; (ROW() -9) * 8 + 9)</f>
        <v>i47</v>
      </c>
      <c r="G56" cm="1">
        <f t="array" aca="1" ref="G56" ca="1">INDIRECT("C" &amp; (ROW() -9) * 8 + 3)</f>
        <v>349</v>
      </c>
    </row>
    <row r="57" spans="1:14" x14ac:dyDescent="0.2">
      <c r="A57" t="s">
        <v>9</v>
      </c>
      <c r="B57">
        <v>565578</v>
      </c>
      <c r="F57" t="str" cm="1">
        <f t="array" aca="1" ref="F57" ca="1">INDIRECT("A" &amp; (ROW() -9) * 8 + 9)</f>
        <v>i48</v>
      </c>
      <c r="G57" cm="1">
        <f t="array" aca="1" ref="G57" ca="1">INDIRECT("C" &amp; (ROW() -9) * 8 + 3)</f>
        <v>149</v>
      </c>
    </row>
    <row r="58" spans="1:14" x14ac:dyDescent="0.2">
      <c r="A58" t="s">
        <v>9</v>
      </c>
      <c r="B58">
        <v>553042</v>
      </c>
      <c r="F58" t="str" cm="1">
        <f t="array" aca="1" ref="F58" ca="1">INDIRECT("A" &amp; (ROW() -9) * 8 + 9)</f>
        <v>i49</v>
      </c>
      <c r="G58" cm="1">
        <f t="array" aca="1" ref="G58" ca="1">INDIRECT("C" &amp; (ROW() -9) * 8 + 3)</f>
        <v>24</v>
      </c>
    </row>
    <row r="59" spans="1:14" x14ac:dyDescent="0.2">
      <c r="A59" t="s">
        <v>10</v>
      </c>
      <c r="B59">
        <v>904316</v>
      </c>
      <c r="C59">
        <f>SUM(B59:B62)</f>
        <v>3578343</v>
      </c>
      <c r="F59" t="str" cm="1">
        <f t="array" aca="1" ref="F59" ca="1">INDIRECT("A" &amp; (ROW() -9) * 8 + 9)</f>
        <v>i50</v>
      </c>
      <c r="G59" cm="1">
        <f t="array" aca="1" ref="G59" ca="1">INDIRECT("C" &amp; (ROW() -9) * 8 + 3)</f>
        <v>39</v>
      </c>
    </row>
    <row r="60" spans="1:14" x14ac:dyDescent="0.2">
      <c r="A60" t="s">
        <v>10</v>
      </c>
      <c r="B60">
        <v>887264</v>
      </c>
      <c r="F60" t="str" cm="1">
        <f t="array" aca="1" ref="F60" ca="1">INDIRECT("A" &amp; (ROW() -9) * 8 + 9)</f>
        <v>i51</v>
      </c>
      <c r="G60" cm="1">
        <f t="array" aca="1" ref="G60" ca="1">INDIRECT("C" &amp; (ROW() -9) * 8 + 3)</f>
        <v>865</v>
      </c>
    </row>
    <row r="61" spans="1:14" x14ac:dyDescent="0.2">
      <c r="A61" t="s">
        <v>10</v>
      </c>
      <c r="B61">
        <v>902806</v>
      </c>
      <c r="F61" t="str" cm="1">
        <f t="array" aca="1" ref="F61" ca="1">INDIRECT("A" &amp; (ROW() -9) * 8 + 9)</f>
        <v>i52</v>
      </c>
      <c r="G61" cm="1">
        <f t="array" aca="1" ref="G61" ca="1">INDIRECT("C" &amp; (ROW() -9) * 8 + 3)</f>
        <v>22</v>
      </c>
    </row>
    <row r="62" spans="1:14" x14ac:dyDescent="0.2">
      <c r="A62" t="s">
        <v>10</v>
      </c>
      <c r="B62">
        <v>883957</v>
      </c>
      <c r="F62" t="str" cm="1">
        <f t="array" aca="1" ref="F62" ca="1">INDIRECT("A" &amp; (ROW() -9) * 8 + 9)</f>
        <v>i53</v>
      </c>
      <c r="G62" cm="1">
        <f t="array" aca="1" ref="G62" ca="1">INDIRECT("C" &amp; (ROW() -9) * 8 + 3)</f>
        <v>253</v>
      </c>
    </row>
    <row r="63" spans="1:14" x14ac:dyDescent="0.2">
      <c r="A63" t="s">
        <v>10</v>
      </c>
      <c r="B63">
        <v>904316</v>
      </c>
    </row>
    <row r="64" spans="1:14" x14ac:dyDescent="0.2">
      <c r="A64" t="s">
        <v>10</v>
      </c>
      <c r="B64">
        <v>887264</v>
      </c>
    </row>
    <row r="65" spans="1:3" x14ac:dyDescent="0.2">
      <c r="A65" t="s">
        <v>10</v>
      </c>
      <c r="B65">
        <v>902806</v>
      </c>
    </row>
    <row r="66" spans="1:3" x14ac:dyDescent="0.2">
      <c r="A66" t="s">
        <v>10</v>
      </c>
      <c r="B66">
        <v>883957</v>
      </c>
    </row>
    <row r="67" spans="1:3" x14ac:dyDescent="0.2">
      <c r="A67" t="s">
        <v>11</v>
      </c>
      <c r="B67">
        <v>775890</v>
      </c>
      <c r="C67">
        <f>SUM(B67:B70)</f>
        <v>3076957</v>
      </c>
    </row>
    <row r="68" spans="1:3" x14ac:dyDescent="0.2">
      <c r="A68" t="s">
        <v>11</v>
      </c>
      <c r="B68">
        <v>763411</v>
      </c>
    </row>
    <row r="69" spans="1:3" x14ac:dyDescent="0.2">
      <c r="A69" t="s">
        <v>11</v>
      </c>
      <c r="B69">
        <v>776920</v>
      </c>
    </row>
    <row r="70" spans="1:3" x14ac:dyDescent="0.2">
      <c r="A70" t="s">
        <v>11</v>
      </c>
      <c r="B70">
        <v>760736</v>
      </c>
    </row>
    <row r="71" spans="1:3" x14ac:dyDescent="0.2">
      <c r="A71" t="s">
        <v>11</v>
      </c>
      <c r="B71">
        <v>775890</v>
      </c>
    </row>
    <row r="72" spans="1:3" x14ac:dyDescent="0.2">
      <c r="A72" t="s">
        <v>11</v>
      </c>
      <c r="B72">
        <v>763411</v>
      </c>
    </row>
    <row r="73" spans="1:3" x14ac:dyDescent="0.2">
      <c r="A73" t="s">
        <v>11</v>
      </c>
      <c r="B73">
        <v>776920</v>
      </c>
    </row>
    <row r="74" spans="1:3" x14ac:dyDescent="0.2">
      <c r="A74" t="s">
        <v>11</v>
      </c>
      <c r="B74">
        <v>760736</v>
      </c>
    </row>
    <row r="75" spans="1:3" x14ac:dyDescent="0.2">
      <c r="A75" t="s">
        <v>12</v>
      </c>
      <c r="B75">
        <v>688224</v>
      </c>
      <c r="C75">
        <f>SUM(B75:B78)</f>
        <v>2729455</v>
      </c>
    </row>
    <row r="76" spans="1:3" x14ac:dyDescent="0.2">
      <c r="A76" t="s">
        <v>12</v>
      </c>
      <c r="B76">
        <v>678510</v>
      </c>
    </row>
    <row r="77" spans="1:3" x14ac:dyDescent="0.2">
      <c r="A77" t="s">
        <v>12</v>
      </c>
      <c r="B77">
        <v>687929</v>
      </c>
    </row>
    <row r="78" spans="1:3" x14ac:dyDescent="0.2">
      <c r="A78" t="s">
        <v>12</v>
      </c>
      <c r="B78">
        <v>674792</v>
      </c>
    </row>
    <row r="79" spans="1:3" x14ac:dyDescent="0.2">
      <c r="A79" t="s">
        <v>12</v>
      </c>
      <c r="B79">
        <v>688224</v>
      </c>
    </row>
    <row r="80" spans="1:3" x14ac:dyDescent="0.2">
      <c r="A80" t="s">
        <v>12</v>
      </c>
      <c r="B80">
        <v>678510</v>
      </c>
    </row>
    <row r="81" spans="1:3" x14ac:dyDescent="0.2">
      <c r="A81" t="s">
        <v>12</v>
      </c>
      <c r="B81">
        <v>687929</v>
      </c>
    </row>
    <row r="82" spans="1:3" x14ac:dyDescent="0.2">
      <c r="A82" t="s">
        <v>12</v>
      </c>
      <c r="B82">
        <v>674792</v>
      </c>
    </row>
    <row r="83" spans="1:3" x14ac:dyDescent="0.2">
      <c r="A83" t="s">
        <v>13</v>
      </c>
      <c r="B83">
        <v>767369</v>
      </c>
      <c r="C83">
        <f>SUM(B83:B86)</f>
        <v>3045049</v>
      </c>
    </row>
    <row r="84" spans="1:3" x14ac:dyDescent="0.2">
      <c r="A84" t="s">
        <v>13</v>
      </c>
      <c r="B84">
        <v>755957</v>
      </c>
    </row>
    <row r="85" spans="1:3" x14ac:dyDescent="0.2">
      <c r="A85" t="s">
        <v>13</v>
      </c>
      <c r="B85">
        <v>767459</v>
      </c>
    </row>
    <row r="86" spans="1:3" x14ac:dyDescent="0.2">
      <c r="A86" t="s">
        <v>13</v>
      </c>
      <c r="B86">
        <v>754264</v>
      </c>
    </row>
    <row r="87" spans="1:3" x14ac:dyDescent="0.2">
      <c r="A87" t="s">
        <v>13</v>
      </c>
      <c r="B87">
        <v>767369</v>
      </c>
    </row>
    <row r="88" spans="1:3" x14ac:dyDescent="0.2">
      <c r="A88" t="s">
        <v>13</v>
      </c>
      <c r="B88">
        <v>755957</v>
      </c>
    </row>
    <row r="89" spans="1:3" x14ac:dyDescent="0.2">
      <c r="A89" t="s">
        <v>13</v>
      </c>
      <c r="B89">
        <v>767459</v>
      </c>
    </row>
    <row r="90" spans="1:3" x14ac:dyDescent="0.2">
      <c r="A90" t="s">
        <v>13</v>
      </c>
      <c r="B90">
        <v>754264</v>
      </c>
    </row>
    <row r="91" spans="1:3" x14ac:dyDescent="0.2">
      <c r="A91" t="s">
        <v>14</v>
      </c>
      <c r="B91">
        <v>698483</v>
      </c>
      <c r="C91">
        <f>SUM(B91:B94)</f>
        <v>2750868</v>
      </c>
    </row>
    <row r="92" spans="1:3" x14ac:dyDescent="0.2">
      <c r="A92" t="s">
        <v>14</v>
      </c>
      <c r="B92">
        <v>681344</v>
      </c>
    </row>
    <row r="93" spans="1:3" x14ac:dyDescent="0.2">
      <c r="A93" t="s">
        <v>14</v>
      </c>
      <c r="B93">
        <v>693820</v>
      </c>
    </row>
    <row r="94" spans="1:3" x14ac:dyDescent="0.2">
      <c r="A94" t="s">
        <v>14</v>
      </c>
      <c r="B94">
        <v>677221</v>
      </c>
    </row>
    <row r="95" spans="1:3" x14ac:dyDescent="0.2">
      <c r="A95" t="s">
        <v>14</v>
      </c>
      <c r="B95">
        <v>698483</v>
      </c>
    </row>
    <row r="96" spans="1:3" x14ac:dyDescent="0.2">
      <c r="A96" t="s">
        <v>14</v>
      </c>
      <c r="B96">
        <v>681344</v>
      </c>
    </row>
    <row r="97" spans="1:3" x14ac:dyDescent="0.2">
      <c r="A97" t="s">
        <v>14</v>
      </c>
      <c r="B97">
        <v>693820</v>
      </c>
    </row>
    <row r="98" spans="1:3" x14ac:dyDescent="0.2">
      <c r="A98" t="s">
        <v>14</v>
      </c>
      <c r="B98">
        <v>677221</v>
      </c>
    </row>
    <row r="99" spans="1:3" x14ac:dyDescent="0.2">
      <c r="A99" t="s">
        <v>15</v>
      </c>
      <c r="B99">
        <v>806094</v>
      </c>
      <c r="C99">
        <f>SUM(B99:B102)</f>
        <v>3193873</v>
      </c>
    </row>
    <row r="100" spans="1:3" x14ac:dyDescent="0.2">
      <c r="A100" t="s">
        <v>15</v>
      </c>
      <c r="B100">
        <v>791043</v>
      </c>
    </row>
    <row r="101" spans="1:3" x14ac:dyDescent="0.2">
      <c r="A101" t="s">
        <v>15</v>
      </c>
      <c r="B101">
        <v>807575</v>
      </c>
    </row>
    <row r="102" spans="1:3" x14ac:dyDescent="0.2">
      <c r="A102" t="s">
        <v>15</v>
      </c>
      <c r="B102">
        <v>789161</v>
      </c>
    </row>
    <row r="103" spans="1:3" x14ac:dyDescent="0.2">
      <c r="A103" t="s">
        <v>15</v>
      </c>
      <c r="B103">
        <v>806094</v>
      </c>
    </row>
    <row r="104" spans="1:3" x14ac:dyDescent="0.2">
      <c r="A104" t="s">
        <v>15</v>
      </c>
      <c r="B104">
        <v>791043</v>
      </c>
    </row>
    <row r="105" spans="1:3" x14ac:dyDescent="0.2">
      <c r="A105" t="s">
        <v>15</v>
      </c>
      <c r="B105">
        <v>807575</v>
      </c>
    </row>
    <row r="106" spans="1:3" x14ac:dyDescent="0.2">
      <c r="A106" t="s">
        <v>15</v>
      </c>
      <c r="B106">
        <v>789161</v>
      </c>
    </row>
    <row r="107" spans="1:3" x14ac:dyDescent="0.2">
      <c r="A107" t="s">
        <v>16</v>
      </c>
      <c r="B107">
        <v>1077266</v>
      </c>
      <c r="C107">
        <f>SUM(B107:B110)</f>
        <v>4281862</v>
      </c>
    </row>
    <row r="108" spans="1:3" x14ac:dyDescent="0.2">
      <c r="A108" t="s">
        <v>16</v>
      </c>
      <c r="B108">
        <v>1062524</v>
      </c>
    </row>
    <row r="109" spans="1:3" x14ac:dyDescent="0.2">
      <c r="A109" t="s">
        <v>16</v>
      </c>
      <c r="B109">
        <v>1078714</v>
      </c>
    </row>
    <row r="110" spans="1:3" x14ac:dyDescent="0.2">
      <c r="A110" t="s">
        <v>16</v>
      </c>
      <c r="B110">
        <v>1063358</v>
      </c>
    </row>
    <row r="111" spans="1:3" x14ac:dyDescent="0.2">
      <c r="A111" t="s">
        <v>16</v>
      </c>
      <c r="B111">
        <v>1077266</v>
      </c>
    </row>
    <row r="112" spans="1:3" x14ac:dyDescent="0.2">
      <c r="A112" t="s">
        <v>16</v>
      </c>
      <c r="B112">
        <v>1062524</v>
      </c>
    </row>
    <row r="113" spans="1:3" x14ac:dyDescent="0.2">
      <c r="A113" t="s">
        <v>16</v>
      </c>
      <c r="B113">
        <v>1078714</v>
      </c>
    </row>
    <row r="114" spans="1:3" x14ac:dyDescent="0.2">
      <c r="A114" t="s">
        <v>16</v>
      </c>
      <c r="B114">
        <v>1063358</v>
      </c>
    </row>
    <row r="115" spans="1:3" x14ac:dyDescent="0.2">
      <c r="A115" t="s">
        <v>17</v>
      </c>
      <c r="B115">
        <v>1231456</v>
      </c>
      <c r="C115">
        <f>SUM(B115:B118)</f>
        <v>4903631</v>
      </c>
    </row>
    <row r="116" spans="1:3" x14ac:dyDescent="0.2">
      <c r="A116" t="s">
        <v>17</v>
      </c>
      <c r="B116">
        <v>1217280</v>
      </c>
    </row>
    <row r="117" spans="1:3" x14ac:dyDescent="0.2">
      <c r="A117" t="s">
        <v>17</v>
      </c>
      <c r="B117">
        <v>1236363</v>
      </c>
    </row>
    <row r="118" spans="1:3" x14ac:dyDescent="0.2">
      <c r="A118" t="s">
        <v>17</v>
      </c>
      <c r="B118">
        <v>1218532</v>
      </c>
    </row>
    <row r="119" spans="1:3" x14ac:dyDescent="0.2">
      <c r="A119" t="s">
        <v>17</v>
      </c>
      <c r="B119">
        <v>1231456</v>
      </c>
    </row>
    <row r="120" spans="1:3" x14ac:dyDescent="0.2">
      <c r="A120" t="s">
        <v>17</v>
      </c>
      <c r="B120">
        <v>1217280</v>
      </c>
    </row>
    <row r="121" spans="1:3" x14ac:dyDescent="0.2">
      <c r="A121" t="s">
        <v>17</v>
      </c>
      <c r="B121">
        <v>1236363</v>
      </c>
    </row>
    <row r="122" spans="1:3" x14ac:dyDescent="0.2">
      <c r="A122" t="s">
        <v>17</v>
      </c>
      <c r="B122">
        <v>1218532</v>
      </c>
    </row>
    <row r="123" spans="1:3" x14ac:dyDescent="0.2">
      <c r="A123" t="s">
        <v>18</v>
      </c>
      <c r="B123">
        <v>1</v>
      </c>
      <c r="C123">
        <f>SUM(B123:B126)</f>
        <v>8</v>
      </c>
    </row>
    <row r="124" spans="1:3" x14ac:dyDescent="0.2">
      <c r="A124" t="s">
        <v>18</v>
      </c>
      <c r="B124">
        <v>2</v>
      </c>
    </row>
    <row r="125" spans="1:3" x14ac:dyDescent="0.2">
      <c r="A125" t="s">
        <v>18</v>
      </c>
      <c r="B125">
        <v>1</v>
      </c>
    </row>
    <row r="126" spans="1:3" x14ac:dyDescent="0.2">
      <c r="A126" t="s">
        <v>18</v>
      </c>
      <c r="B126">
        <v>4</v>
      </c>
    </row>
    <row r="127" spans="1:3" x14ac:dyDescent="0.2">
      <c r="A127" t="s">
        <v>18</v>
      </c>
      <c r="B127">
        <v>1</v>
      </c>
    </row>
    <row r="128" spans="1:3" x14ac:dyDescent="0.2">
      <c r="A128" t="s">
        <v>18</v>
      </c>
      <c r="B128">
        <v>2</v>
      </c>
    </row>
    <row r="129" spans="1:3" x14ac:dyDescent="0.2">
      <c r="A129" t="s">
        <v>18</v>
      </c>
      <c r="B129">
        <v>1</v>
      </c>
    </row>
    <row r="130" spans="1:3" x14ac:dyDescent="0.2">
      <c r="A130" t="s">
        <v>18</v>
      </c>
      <c r="B130">
        <v>4</v>
      </c>
    </row>
    <row r="131" spans="1:3" x14ac:dyDescent="0.2">
      <c r="A131" t="s">
        <v>19</v>
      </c>
      <c r="B131">
        <v>9</v>
      </c>
      <c r="C131">
        <f>SUM(B131:B134)</f>
        <v>49</v>
      </c>
    </row>
    <row r="132" spans="1:3" x14ac:dyDescent="0.2">
      <c r="A132" t="s">
        <v>19</v>
      </c>
      <c r="B132">
        <v>14</v>
      </c>
    </row>
    <row r="133" spans="1:3" x14ac:dyDescent="0.2">
      <c r="A133" t="s">
        <v>19</v>
      </c>
      <c r="B133">
        <v>11</v>
      </c>
    </row>
    <row r="134" spans="1:3" x14ac:dyDescent="0.2">
      <c r="A134" t="s">
        <v>19</v>
      </c>
      <c r="B134">
        <v>15</v>
      </c>
    </row>
    <row r="135" spans="1:3" x14ac:dyDescent="0.2">
      <c r="A135" t="s">
        <v>19</v>
      </c>
      <c r="B135">
        <v>9</v>
      </c>
    </row>
    <row r="136" spans="1:3" x14ac:dyDescent="0.2">
      <c r="A136" t="s">
        <v>19</v>
      </c>
      <c r="B136">
        <v>14</v>
      </c>
    </row>
    <row r="137" spans="1:3" x14ac:dyDescent="0.2">
      <c r="A137" t="s">
        <v>19</v>
      </c>
      <c r="B137">
        <v>11</v>
      </c>
    </row>
    <row r="138" spans="1:3" x14ac:dyDescent="0.2">
      <c r="A138" t="s">
        <v>19</v>
      </c>
      <c r="B138">
        <v>15</v>
      </c>
    </row>
    <row r="139" spans="1:3" x14ac:dyDescent="0.2">
      <c r="A139" t="s">
        <v>20</v>
      </c>
      <c r="B139">
        <v>1246298</v>
      </c>
      <c r="C139">
        <f>SUM(B139:B142)</f>
        <v>4974175</v>
      </c>
    </row>
    <row r="140" spans="1:3" x14ac:dyDescent="0.2">
      <c r="A140" t="s">
        <v>20</v>
      </c>
      <c r="B140">
        <v>1233210</v>
      </c>
    </row>
    <row r="141" spans="1:3" x14ac:dyDescent="0.2">
      <c r="A141" t="s">
        <v>20</v>
      </c>
      <c r="B141">
        <v>1254751</v>
      </c>
    </row>
    <row r="142" spans="1:3" x14ac:dyDescent="0.2">
      <c r="A142" t="s">
        <v>20</v>
      </c>
      <c r="B142">
        <v>1239916</v>
      </c>
    </row>
    <row r="143" spans="1:3" x14ac:dyDescent="0.2">
      <c r="A143" t="s">
        <v>20</v>
      </c>
      <c r="B143">
        <v>1246298</v>
      </c>
    </row>
    <row r="144" spans="1:3" x14ac:dyDescent="0.2">
      <c r="A144" t="s">
        <v>20</v>
      </c>
      <c r="B144">
        <v>1233210</v>
      </c>
    </row>
    <row r="145" spans="1:3" x14ac:dyDescent="0.2">
      <c r="A145" t="s">
        <v>20</v>
      </c>
      <c r="B145">
        <v>1254751</v>
      </c>
    </row>
    <row r="146" spans="1:3" x14ac:dyDescent="0.2">
      <c r="A146" t="s">
        <v>20</v>
      </c>
      <c r="B146">
        <v>1239916</v>
      </c>
    </row>
    <row r="147" spans="1:3" x14ac:dyDescent="0.2">
      <c r="A147" t="s">
        <v>21</v>
      </c>
      <c r="B147">
        <v>792723</v>
      </c>
      <c r="C147">
        <f>SUM(B147:B150)</f>
        <v>3162693</v>
      </c>
    </row>
    <row r="148" spans="1:3" x14ac:dyDescent="0.2">
      <c r="A148" t="s">
        <v>21</v>
      </c>
      <c r="B148">
        <v>782094</v>
      </c>
    </row>
    <row r="149" spans="1:3" x14ac:dyDescent="0.2">
      <c r="A149" t="s">
        <v>21</v>
      </c>
      <c r="B149">
        <v>798583</v>
      </c>
    </row>
    <row r="150" spans="1:3" x14ac:dyDescent="0.2">
      <c r="A150" t="s">
        <v>21</v>
      </c>
      <c r="B150">
        <v>789293</v>
      </c>
    </row>
    <row r="151" spans="1:3" x14ac:dyDescent="0.2">
      <c r="A151" t="s">
        <v>21</v>
      </c>
      <c r="B151">
        <v>792723</v>
      </c>
    </row>
    <row r="152" spans="1:3" x14ac:dyDescent="0.2">
      <c r="A152" t="s">
        <v>21</v>
      </c>
      <c r="B152">
        <v>782094</v>
      </c>
    </row>
    <row r="153" spans="1:3" x14ac:dyDescent="0.2">
      <c r="A153" t="s">
        <v>21</v>
      </c>
      <c r="B153">
        <v>798583</v>
      </c>
    </row>
    <row r="154" spans="1:3" x14ac:dyDescent="0.2">
      <c r="A154" t="s">
        <v>21</v>
      </c>
      <c r="B154">
        <v>789293</v>
      </c>
    </row>
    <row r="155" spans="1:3" x14ac:dyDescent="0.2">
      <c r="A155" t="s">
        <v>22</v>
      </c>
      <c r="B155">
        <v>1107748</v>
      </c>
      <c r="C155">
        <f>SUM(B155:B158)</f>
        <v>4424361</v>
      </c>
    </row>
    <row r="156" spans="1:3" x14ac:dyDescent="0.2">
      <c r="A156" t="s">
        <v>22</v>
      </c>
      <c r="B156">
        <v>1095990</v>
      </c>
    </row>
    <row r="157" spans="1:3" x14ac:dyDescent="0.2">
      <c r="A157" t="s">
        <v>22</v>
      </c>
      <c r="B157">
        <v>1115618</v>
      </c>
    </row>
    <row r="158" spans="1:3" x14ac:dyDescent="0.2">
      <c r="A158" t="s">
        <v>22</v>
      </c>
      <c r="B158">
        <v>1105005</v>
      </c>
    </row>
    <row r="159" spans="1:3" x14ac:dyDescent="0.2">
      <c r="A159" t="s">
        <v>22</v>
      </c>
      <c r="B159">
        <v>1107748</v>
      </c>
    </row>
    <row r="160" spans="1:3" x14ac:dyDescent="0.2">
      <c r="A160" t="s">
        <v>22</v>
      </c>
      <c r="B160">
        <v>1095990</v>
      </c>
    </row>
    <row r="161" spans="1:3" x14ac:dyDescent="0.2">
      <c r="A161" t="s">
        <v>22</v>
      </c>
      <c r="B161">
        <v>1115618</v>
      </c>
    </row>
    <row r="162" spans="1:3" x14ac:dyDescent="0.2">
      <c r="A162" t="s">
        <v>22</v>
      </c>
      <c r="B162">
        <v>1105005</v>
      </c>
    </row>
    <row r="163" spans="1:3" x14ac:dyDescent="0.2">
      <c r="A163" t="s">
        <v>23</v>
      </c>
      <c r="B163">
        <v>690843</v>
      </c>
      <c r="C163">
        <f>SUM(B163:B166)</f>
        <v>2763806</v>
      </c>
    </row>
    <row r="164" spans="1:3" x14ac:dyDescent="0.2">
      <c r="A164" t="s">
        <v>23</v>
      </c>
      <c r="B164">
        <v>684158</v>
      </c>
    </row>
    <row r="165" spans="1:3" x14ac:dyDescent="0.2">
      <c r="A165" t="s">
        <v>23</v>
      </c>
      <c r="B165">
        <v>698928</v>
      </c>
    </row>
    <row r="166" spans="1:3" x14ac:dyDescent="0.2">
      <c r="A166" t="s">
        <v>23</v>
      </c>
      <c r="B166">
        <v>689877</v>
      </c>
    </row>
    <row r="167" spans="1:3" x14ac:dyDescent="0.2">
      <c r="A167" t="s">
        <v>23</v>
      </c>
      <c r="B167">
        <v>690843</v>
      </c>
    </row>
    <row r="168" spans="1:3" x14ac:dyDescent="0.2">
      <c r="A168" t="s">
        <v>23</v>
      </c>
      <c r="B168">
        <v>684158</v>
      </c>
    </row>
    <row r="169" spans="1:3" x14ac:dyDescent="0.2">
      <c r="A169" t="s">
        <v>23</v>
      </c>
      <c r="B169">
        <v>698928</v>
      </c>
    </row>
    <row r="170" spans="1:3" x14ac:dyDescent="0.2">
      <c r="A170" t="s">
        <v>23</v>
      </c>
      <c r="B170">
        <v>689877</v>
      </c>
    </row>
    <row r="171" spans="1:3" x14ac:dyDescent="0.2">
      <c r="A171" t="s">
        <v>24</v>
      </c>
      <c r="B171">
        <v>1195495</v>
      </c>
      <c r="C171">
        <f>SUM(B171:B174)</f>
        <v>4770561</v>
      </c>
    </row>
    <row r="172" spans="1:3" x14ac:dyDescent="0.2">
      <c r="A172" t="s">
        <v>24</v>
      </c>
      <c r="B172">
        <v>1181904</v>
      </c>
    </row>
    <row r="173" spans="1:3" x14ac:dyDescent="0.2">
      <c r="A173" t="s">
        <v>24</v>
      </c>
      <c r="B173">
        <v>1205722</v>
      </c>
    </row>
    <row r="174" spans="1:3" x14ac:dyDescent="0.2">
      <c r="A174" t="s">
        <v>24</v>
      </c>
      <c r="B174">
        <v>1187440</v>
      </c>
    </row>
    <row r="175" spans="1:3" x14ac:dyDescent="0.2">
      <c r="A175" t="s">
        <v>24</v>
      </c>
      <c r="B175">
        <v>1195495</v>
      </c>
    </row>
    <row r="176" spans="1:3" x14ac:dyDescent="0.2">
      <c r="A176" t="s">
        <v>24</v>
      </c>
      <c r="B176">
        <v>1181904</v>
      </c>
    </row>
    <row r="177" spans="1:3" x14ac:dyDescent="0.2">
      <c r="A177" t="s">
        <v>24</v>
      </c>
      <c r="B177">
        <v>1205722</v>
      </c>
    </row>
    <row r="178" spans="1:3" x14ac:dyDescent="0.2">
      <c r="A178" t="s">
        <v>24</v>
      </c>
      <c r="B178">
        <v>1187440</v>
      </c>
    </row>
    <row r="179" spans="1:3" x14ac:dyDescent="0.2">
      <c r="A179" t="s">
        <v>25</v>
      </c>
      <c r="B179">
        <v>1040377</v>
      </c>
      <c r="C179">
        <f>SUM(B179:B182)</f>
        <v>4156009</v>
      </c>
    </row>
    <row r="180" spans="1:3" x14ac:dyDescent="0.2">
      <c r="A180" t="s">
        <v>25</v>
      </c>
      <c r="B180">
        <v>1031090</v>
      </c>
    </row>
    <row r="181" spans="1:3" x14ac:dyDescent="0.2">
      <c r="A181" t="s">
        <v>25</v>
      </c>
      <c r="B181">
        <v>1047432</v>
      </c>
    </row>
    <row r="182" spans="1:3" x14ac:dyDescent="0.2">
      <c r="A182" t="s">
        <v>25</v>
      </c>
      <c r="B182">
        <v>1037110</v>
      </c>
    </row>
    <row r="183" spans="1:3" x14ac:dyDescent="0.2">
      <c r="A183" t="s">
        <v>25</v>
      </c>
      <c r="B183">
        <v>1040377</v>
      </c>
    </row>
    <row r="184" spans="1:3" x14ac:dyDescent="0.2">
      <c r="A184" t="s">
        <v>25</v>
      </c>
      <c r="B184">
        <v>1031090</v>
      </c>
    </row>
    <row r="185" spans="1:3" x14ac:dyDescent="0.2">
      <c r="A185" t="s">
        <v>25</v>
      </c>
      <c r="B185">
        <v>1047432</v>
      </c>
    </row>
    <row r="186" spans="1:3" x14ac:dyDescent="0.2">
      <c r="A186" t="s">
        <v>25</v>
      </c>
      <c r="B186">
        <v>1037110</v>
      </c>
    </row>
    <row r="187" spans="1:3" x14ac:dyDescent="0.2">
      <c r="A187" t="s">
        <v>26</v>
      </c>
      <c r="B187">
        <v>843570</v>
      </c>
      <c r="C187">
        <f>SUM(B187:B190)</f>
        <v>3362599</v>
      </c>
    </row>
    <row r="188" spans="1:3" x14ac:dyDescent="0.2">
      <c r="A188" t="s">
        <v>26</v>
      </c>
      <c r="B188">
        <v>833055</v>
      </c>
    </row>
    <row r="189" spans="1:3" x14ac:dyDescent="0.2">
      <c r="A189" t="s">
        <v>26</v>
      </c>
      <c r="B189">
        <v>848256</v>
      </c>
    </row>
    <row r="190" spans="1:3" x14ac:dyDescent="0.2">
      <c r="A190" t="s">
        <v>26</v>
      </c>
      <c r="B190">
        <v>837718</v>
      </c>
    </row>
    <row r="191" spans="1:3" x14ac:dyDescent="0.2">
      <c r="A191" t="s">
        <v>26</v>
      </c>
      <c r="B191">
        <v>843570</v>
      </c>
    </row>
    <row r="192" spans="1:3" x14ac:dyDescent="0.2">
      <c r="A192" t="s">
        <v>26</v>
      </c>
      <c r="B192">
        <v>833055</v>
      </c>
    </row>
    <row r="193" spans="1:3" x14ac:dyDescent="0.2">
      <c r="A193" t="s">
        <v>26</v>
      </c>
      <c r="B193">
        <v>848256</v>
      </c>
    </row>
    <row r="194" spans="1:3" x14ac:dyDescent="0.2">
      <c r="A194" t="s">
        <v>26</v>
      </c>
      <c r="B194">
        <v>837718</v>
      </c>
    </row>
    <row r="195" spans="1:3" x14ac:dyDescent="0.2">
      <c r="A195" t="s">
        <v>27</v>
      </c>
      <c r="B195">
        <v>1042194</v>
      </c>
      <c r="C195">
        <f>SUM(B195:B198)</f>
        <v>4160208</v>
      </c>
    </row>
    <row r="196" spans="1:3" x14ac:dyDescent="0.2">
      <c r="A196" t="s">
        <v>27</v>
      </c>
      <c r="B196">
        <v>1030588</v>
      </c>
    </row>
    <row r="197" spans="1:3" x14ac:dyDescent="0.2">
      <c r="A197" t="s">
        <v>27</v>
      </c>
      <c r="B197">
        <v>1049231</v>
      </c>
    </row>
    <row r="198" spans="1:3" x14ac:dyDescent="0.2">
      <c r="A198" t="s">
        <v>27</v>
      </c>
      <c r="B198">
        <v>1038195</v>
      </c>
    </row>
    <row r="199" spans="1:3" x14ac:dyDescent="0.2">
      <c r="A199" t="s">
        <v>27</v>
      </c>
      <c r="B199">
        <v>1042194</v>
      </c>
    </row>
    <row r="200" spans="1:3" x14ac:dyDescent="0.2">
      <c r="A200" t="s">
        <v>27</v>
      </c>
      <c r="B200">
        <v>1030588</v>
      </c>
    </row>
    <row r="201" spans="1:3" x14ac:dyDescent="0.2">
      <c r="A201" t="s">
        <v>27</v>
      </c>
      <c r="B201">
        <v>1049231</v>
      </c>
    </row>
    <row r="202" spans="1:3" x14ac:dyDescent="0.2">
      <c r="A202" t="s">
        <v>27</v>
      </c>
      <c r="B202">
        <v>1038195</v>
      </c>
    </row>
    <row r="203" spans="1:3" x14ac:dyDescent="0.2">
      <c r="A203" t="s">
        <v>28</v>
      </c>
      <c r="B203">
        <v>1309236</v>
      </c>
      <c r="C203">
        <f>SUM(B203:B206)</f>
        <v>5229675</v>
      </c>
    </row>
    <row r="204" spans="1:3" x14ac:dyDescent="0.2">
      <c r="A204" t="s">
        <v>28</v>
      </c>
      <c r="B204">
        <v>1296927</v>
      </c>
    </row>
    <row r="205" spans="1:3" x14ac:dyDescent="0.2">
      <c r="A205" t="s">
        <v>28</v>
      </c>
      <c r="B205">
        <v>1319408</v>
      </c>
    </row>
    <row r="206" spans="1:3" x14ac:dyDescent="0.2">
      <c r="A206" t="s">
        <v>28</v>
      </c>
      <c r="B206">
        <v>1304104</v>
      </c>
    </row>
    <row r="207" spans="1:3" x14ac:dyDescent="0.2">
      <c r="A207" t="s">
        <v>28</v>
      </c>
      <c r="B207">
        <v>1309236</v>
      </c>
    </row>
    <row r="208" spans="1:3" x14ac:dyDescent="0.2">
      <c r="A208" t="s">
        <v>28</v>
      </c>
      <c r="B208">
        <v>1296927</v>
      </c>
    </row>
    <row r="209" spans="1:3" x14ac:dyDescent="0.2">
      <c r="A209" t="s">
        <v>28</v>
      </c>
      <c r="B209">
        <v>1319408</v>
      </c>
    </row>
    <row r="210" spans="1:3" x14ac:dyDescent="0.2">
      <c r="A210" t="s">
        <v>28</v>
      </c>
      <c r="B210">
        <v>1304104</v>
      </c>
    </row>
    <row r="211" spans="1:3" x14ac:dyDescent="0.2">
      <c r="A211" t="s">
        <v>29</v>
      </c>
      <c r="B211">
        <v>955052</v>
      </c>
      <c r="C211">
        <f>SUM(B211:B214)</f>
        <v>3815866</v>
      </c>
    </row>
    <row r="212" spans="1:3" x14ac:dyDescent="0.2">
      <c r="A212" t="s">
        <v>29</v>
      </c>
      <c r="B212">
        <v>945078</v>
      </c>
    </row>
    <row r="213" spans="1:3" x14ac:dyDescent="0.2">
      <c r="A213" t="s">
        <v>29</v>
      </c>
      <c r="B213">
        <v>962578</v>
      </c>
    </row>
    <row r="214" spans="1:3" x14ac:dyDescent="0.2">
      <c r="A214" t="s">
        <v>29</v>
      </c>
      <c r="B214">
        <v>953158</v>
      </c>
    </row>
    <row r="215" spans="1:3" x14ac:dyDescent="0.2">
      <c r="A215" t="s">
        <v>29</v>
      </c>
      <c r="B215">
        <v>955052</v>
      </c>
    </row>
    <row r="216" spans="1:3" x14ac:dyDescent="0.2">
      <c r="A216" t="s">
        <v>29</v>
      </c>
      <c r="B216">
        <v>945078</v>
      </c>
    </row>
    <row r="217" spans="1:3" x14ac:dyDescent="0.2">
      <c r="A217" t="s">
        <v>29</v>
      </c>
      <c r="B217">
        <v>962578</v>
      </c>
    </row>
    <row r="218" spans="1:3" x14ac:dyDescent="0.2">
      <c r="A218" t="s">
        <v>29</v>
      </c>
      <c r="B218">
        <v>953158</v>
      </c>
    </row>
    <row r="219" spans="1:3" x14ac:dyDescent="0.2">
      <c r="A219" t="s">
        <v>30</v>
      </c>
      <c r="B219">
        <v>927343</v>
      </c>
      <c r="C219">
        <f>SUM(B219:B222)</f>
        <v>3705311</v>
      </c>
    </row>
    <row r="220" spans="1:3" x14ac:dyDescent="0.2">
      <c r="A220" t="s">
        <v>30</v>
      </c>
      <c r="B220">
        <v>920312</v>
      </c>
    </row>
    <row r="221" spans="1:3" x14ac:dyDescent="0.2">
      <c r="A221" t="s">
        <v>30</v>
      </c>
      <c r="B221">
        <v>932664</v>
      </c>
    </row>
    <row r="222" spans="1:3" x14ac:dyDescent="0.2">
      <c r="A222" t="s">
        <v>30</v>
      </c>
      <c r="B222">
        <v>924992</v>
      </c>
    </row>
    <row r="223" spans="1:3" x14ac:dyDescent="0.2">
      <c r="A223" t="s">
        <v>30</v>
      </c>
      <c r="B223">
        <v>927343</v>
      </c>
    </row>
    <row r="224" spans="1:3" x14ac:dyDescent="0.2">
      <c r="A224" t="s">
        <v>30</v>
      </c>
      <c r="B224">
        <v>920312</v>
      </c>
    </row>
    <row r="225" spans="1:3" x14ac:dyDescent="0.2">
      <c r="A225" t="s">
        <v>30</v>
      </c>
      <c r="B225">
        <v>932664</v>
      </c>
    </row>
    <row r="226" spans="1:3" x14ac:dyDescent="0.2">
      <c r="A226" t="s">
        <v>30</v>
      </c>
      <c r="B226">
        <v>924992</v>
      </c>
    </row>
    <row r="227" spans="1:3" x14ac:dyDescent="0.2">
      <c r="A227" t="s">
        <v>31</v>
      </c>
      <c r="B227">
        <v>907895</v>
      </c>
      <c r="C227">
        <f>SUM(B227:B230)</f>
        <v>3624126</v>
      </c>
    </row>
    <row r="228" spans="1:3" x14ac:dyDescent="0.2">
      <c r="A228" t="s">
        <v>31</v>
      </c>
      <c r="B228">
        <v>899475</v>
      </c>
    </row>
    <row r="229" spans="1:3" x14ac:dyDescent="0.2">
      <c r="A229" t="s">
        <v>31</v>
      </c>
      <c r="B229">
        <v>912743</v>
      </c>
    </row>
    <row r="230" spans="1:3" x14ac:dyDescent="0.2">
      <c r="A230" t="s">
        <v>31</v>
      </c>
      <c r="B230">
        <v>904013</v>
      </c>
    </row>
    <row r="231" spans="1:3" x14ac:dyDescent="0.2">
      <c r="A231" t="s">
        <v>31</v>
      </c>
      <c r="B231">
        <v>907895</v>
      </c>
    </row>
    <row r="232" spans="1:3" x14ac:dyDescent="0.2">
      <c r="A232" t="s">
        <v>31</v>
      </c>
      <c r="B232">
        <v>899475</v>
      </c>
    </row>
    <row r="233" spans="1:3" x14ac:dyDescent="0.2">
      <c r="A233" t="s">
        <v>31</v>
      </c>
      <c r="B233">
        <v>912743</v>
      </c>
    </row>
    <row r="234" spans="1:3" x14ac:dyDescent="0.2">
      <c r="A234" t="s">
        <v>31</v>
      </c>
      <c r="B234">
        <v>904013</v>
      </c>
    </row>
    <row r="235" spans="1:3" x14ac:dyDescent="0.2">
      <c r="A235" t="s">
        <v>32</v>
      </c>
      <c r="B235">
        <v>1119597</v>
      </c>
      <c r="C235">
        <f>SUM(B235:B238)</f>
        <v>4471505</v>
      </c>
    </row>
    <row r="236" spans="1:3" x14ac:dyDescent="0.2">
      <c r="A236" t="s">
        <v>32</v>
      </c>
      <c r="B236">
        <v>1110035</v>
      </c>
    </row>
    <row r="237" spans="1:3" x14ac:dyDescent="0.2">
      <c r="A237" t="s">
        <v>32</v>
      </c>
      <c r="B237">
        <v>1124342</v>
      </c>
    </row>
    <row r="238" spans="1:3" x14ac:dyDescent="0.2">
      <c r="A238" t="s">
        <v>32</v>
      </c>
      <c r="B238">
        <v>1117531</v>
      </c>
    </row>
    <row r="239" spans="1:3" x14ac:dyDescent="0.2">
      <c r="A239" t="s">
        <v>32</v>
      </c>
      <c r="B239">
        <v>1119597</v>
      </c>
    </row>
    <row r="240" spans="1:3" x14ac:dyDescent="0.2">
      <c r="A240" t="s">
        <v>32</v>
      </c>
      <c r="B240">
        <v>1110035</v>
      </c>
    </row>
    <row r="241" spans="1:3" x14ac:dyDescent="0.2">
      <c r="A241" t="s">
        <v>32</v>
      </c>
      <c r="B241">
        <v>1124342</v>
      </c>
    </row>
    <row r="242" spans="1:3" x14ac:dyDescent="0.2">
      <c r="A242" t="s">
        <v>32</v>
      </c>
      <c r="B242">
        <v>1117531</v>
      </c>
    </row>
    <row r="243" spans="1:3" x14ac:dyDescent="0.2">
      <c r="A243" t="s">
        <v>33</v>
      </c>
      <c r="B243">
        <v>1043907</v>
      </c>
      <c r="C243">
        <f>SUM(B243:B246)</f>
        <v>4165107</v>
      </c>
    </row>
    <row r="244" spans="1:3" x14ac:dyDescent="0.2">
      <c r="A244" t="s">
        <v>33</v>
      </c>
      <c r="B244">
        <v>1032933</v>
      </c>
    </row>
    <row r="245" spans="1:3" x14ac:dyDescent="0.2">
      <c r="A245" t="s">
        <v>33</v>
      </c>
      <c r="B245">
        <v>1048119</v>
      </c>
    </row>
    <row r="246" spans="1:3" x14ac:dyDescent="0.2">
      <c r="A246" t="s">
        <v>33</v>
      </c>
      <c r="B246">
        <v>1040148</v>
      </c>
    </row>
    <row r="247" spans="1:3" x14ac:dyDescent="0.2">
      <c r="A247" t="s">
        <v>33</v>
      </c>
      <c r="B247">
        <v>1043907</v>
      </c>
    </row>
    <row r="248" spans="1:3" x14ac:dyDescent="0.2">
      <c r="A248" t="s">
        <v>33</v>
      </c>
      <c r="B248">
        <v>1032933</v>
      </c>
    </row>
    <row r="249" spans="1:3" x14ac:dyDescent="0.2">
      <c r="A249" t="s">
        <v>33</v>
      </c>
      <c r="B249">
        <v>1048119</v>
      </c>
    </row>
    <row r="250" spans="1:3" x14ac:dyDescent="0.2">
      <c r="A250" t="s">
        <v>33</v>
      </c>
      <c r="B250">
        <v>1040148</v>
      </c>
    </row>
    <row r="251" spans="1:3" x14ac:dyDescent="0.2">
      <c r="A251" t="s">
        <v>34</v>
      </c>
      <c r="B251">
        <v>1168668</v>
      </c>
      <c r="C251">
        <f>SUM(B251:B254)</f>
        <v>4671287</v>
      </c>
    </row>
    <row r="252" spans="1:3" x14ac:dyDescent="0.2">
      <c r="A252" t="s">
        <v>34</v>
      </c>
      <c r="B252">
        <v>1157361</v>
      </c>
    </row>
    <row r="253" spans="1:3" x14ac:dyDescent="0.2">
      <c r="A253" t="s">
        <v>34</v>
      </c>
      <c r="B253">
        <v>1179550</v>
      </c>
    </row>
    <row r="254" spans="1:3" x14ac:dyDescent="0.2">
      <c r="A254" t="s">
        <v>34</v>
      </c>
      <c r="B254">
        <v>1165708</v>
      </c>
    </row>
    <row r="255" spans="1:3" x14ac:dyDescent="0.2">
      <c r="A255" t="s">
        <v>34</v>
      </c>
      <c r="B255">
        <v>1168668</v>
      </c>
    </row>
    <row r="256" spans="1:3" x14ac:dyDescent="0.2">
      <c r="A256" t="s">
        <v>34</v>
      </c>
      <c r="B256">
        <v>1157361</v>
      </c>
    </row>
    <row r="257" spans="1:3" x14ac:dyDescent="0.2">
      <c r="A257" t="s">
        <v>34</v>
      </c>
      <c r="B257">
        <v>1179550</v>
      </c>
    </row>
    <row r="258" spans="1:3" x14ac:dyDescent="0.2">
      <c r="A258" t="s">
        <v>34</v>
      </c>
      <c r="B258">
        <v>1165708</v>
      </c>
    </row>
    <row r="259" spans="1:3" x14ac:dyDescent="0.2">
      <c r="A259" t="s">
        <v>35</v>
      </c>
      <c r="B259">
        <v>908277</v>
      </c>
      <c r="C259">
        <f>SUM(B259:B262)</f>
        <v>3629931</v>
      </c>
    </row>
    <row r="260" spans="1:3" x14ac:dyDescent="0.2">
      <c r="A260" t="s">
        <v>35</v>
      </c>
      <c r="B260">
        <v>899307</v>
      </c>
    </row>
    <row r="261" spans="1:3" x14ac:dyDescent="0.2">
      <c r="A261" t="s">
        <v>35</v>
      </c>
      <c r="B261">
        <v>916247</v>
      </c>
    </row>
    <row r="262" spans="1:3" x14ac:dyDescent="0.2">
      <c r="A262" t="s">
        <v>35</v>
      </c>
      <c r="B262">
        <v>906100</v>
      </c>
    </row>
    <row r="263" spans="1:3" x14ac:dyDescent="0.2">
      <c r="A263" t="s">
        <v>35</v>
      </c>
      <c r="B263">
        <v>908277</v>
      </c>
    </row>
    <row r="264" spans="1:3" x14ac:dyDescent="0.2">
      <c r="A264" t="s">
        <v>35</v>
      </c>
      <c r="B264">
        <v>899307</v>
      </c>
    </row>
    <row r="265" spans="1:3" x14ac:dyDescent="0.2">
      <c r="A265" t="s">
        <v>35</v>
      </c>
      <c r="B265">
        <v>916247</v>
      </c>
    </row>
    <row r="266" spans="1:3" x14ac:dyDescent="0.2">
      <c r="A266" t="s">
        <v>35</v>
      </c>
      <c r="B266">
        <v>906100</v>
      </c>
    </row>
    <row r="267" spans="1:3" x14ac:dyDescent="0.2">
      <c r="A267" t="s">
        <v>36</v>
      </c>
      <c r="B267">
        <v>1014471</v>
      </c>
      <c r="C267">
        <f>SUM(B267:B270)</f>
        <v>4047006</v>
      </c>
    </row>
    <row r="268" spans="1:3" x14ac:dyDescent="0.2">
      <c r="A268" t="s">
        <v>36</v>
      </c>
      <c r="B268">
        <v>1002074</v>
      </c>
    </row>
    <row r="269" spans="1:3" x14ac:dyDescent="0.2">
      <c r="A269" t="s">
        <v>36</v>
      </c>
      <c r="B269">
        <v>1021109</v>
      </c>
    </row>
    <row r="270" spans="1:3" x14ac:dyDescent="0.2">
      <c r="A270" t="s">
        <v>36</v>
      </c>
      <c r="B270">
        <v>1009352</v>
      </c>
    </row>
    <row r="271" spans="1:3" x14ac:dyDescent="0.2">
      <c r="A271" t="s">
        <v>36</v>
      </c>
      <c r="B271">
        <v>1014471</v>
      </c>
    </row>
    <row r="272" spans="1:3" x14ac:dyDescent="0.2">
      <c r="A272" t="s">
        <v>36</v>
      </c>
      <c r="B272">
        <v>1002074</v>
      </c>
    </row>
    <row r="273" spans="1:3" x14ac:dyDescent="0.2">
      <c r="A273" t="s">
        <v>36</v>
      </c>
      <c r="B273">
        <v>1021109</v>
      </c>
    </row>
    <row r="274" spans="1:3" x14ac:dyDescent="0.2">
      <c r="A274" t="s">
        <v>36</v>
      </c>
      <c r="B274">
        <v>1009352</v>
      </c>
    </row>
    <row r="275" spans="1:3" x14ac:dyDescent="0.2">
      <c r="A275" t="s">
        <v>37</v>
      </c>
      <c r="B275">
        <v>893114</v>
      </c>
      <c r="C275">
        <f>SUM(B275:B278)</f>
        <v>3565691</v>
      </c>
    </row>
    <row r="276" spans="1:3" x14ac:dyDescent="0.2">
      <c r="A276" t="s">
        <v>37</v>
      </c>
      <c r="B276">
        <v>884386</v>
      </c>
    </row>
    <row r="277" spans="1:3" x14ac:dyDescent="0.2">
      <c r="A277" t="s">
        <v>37</v>
      </c>
      <c r="B277">
        <v>898116</v>
      </c>
    </row>
    <row r="278" spans="1:3" x14ac:dyDescent="0.2">
      <c r="A278" t="s">
        <v>37</v>
      </c>
      <c r="B278">
        <v>890075</v>
      </c>
    </row>
    <row r="279" spans="1:3" x14ac:dyDescent="0.2">
      <c r="A279" t="s">
        <v>37</v>
      </c>
      <c r="B279">
        <v>893114</v>
      </c>
    </row>
    <row r="280" spans="1:3" x14ac:dyDescent="0.2">
      <c r="A280" t="s">
        <v>37</v>
      </c>
      <c r="B280">
        <v>884386</v>
      </c>
    </row>
    <row r="281" spans="1:3" x14ac:dyDescent="0.2">
      <c r="A281" t="s">
        <v>37</v>
      </c>
      <c r="B281">
        <v>898116</v>
      </c>
    </row>
    <row r="282" spans="1:3" x14ac:dyDescent="0.2">
      <c r="A282" t="s">
        <v>37</v>
      </c>
      <c r="B282">
        <v>890075</v>
      </c>
    </row>
    <row r="283" spans="1:3" x14ac:dyDescent="0.2">
      <c r="A283" t="s">
        <v>38</v>
      </c>
      <c r="B283">
        <v>1162724</v>
      </c>
      <c r="C283">
        <f>SUM(B283:B286)</f>
        <v>4640769</v>
      </c>
    </row>
    <row r="284" spans="1:3" x14ac:dyDescent="0.2">
      <c r="A284" t="s">
        <v>38</v>
      </c>
      <c r="B284">
        <v>1150083</v>
      </c>
    </row>
    <row r="285" spans="1:3" x14ac:dyDescent="0.2">
      <c r="A285" t="s">
        <v>38</v>
      </c>
      <c r="B285">
        <v>1170180</v>
      </c>
    </row>
    <row r="286" spans="1:3" x14ac:dyDescent="0.2">
      <c r="A286" t="s">
        <v>38</v>
      </c>
      <c r="B286">
        <v>1157782</v>
      </c>
    </row>
    <row r="287" spans="1:3" x14ac:dyDescent="0.2">
      <c r="A287" t="s">
        <v>38</v>
      </c>
      <c r="B287">
        <v>1162724</v>
      </c>
    </row>
    <row r="288" spans="1:3" x14ac:dyDescent="0.2">
      <c r="A288" t="s">
        <v>38</v>
      </c>
      <c r="B288">
        <v>1150083</v>
      </c>
    </row>
    <row r="289" spans="1:3" x14ac:dyDescent="0.2">
      <c r="A289" t="s">
        <v>38</v>
      </c>
      <c r="B289">
        <v>1170180</v>
      </c>
    </row>
    <row r="290" spans="1:3" x14ac:dyDescent="0.2">
      <c r="A290" t="s">
        <v>38</v>
      </c>
      <c r="B290">
        <v>1157782</v>
      </c>
    </row>
    <row r="291" spans="1:3" x14ac:dyDescent="0.2">
      <c r="A291" t="s">
        <v>39</v>
      </c>
      <c r="B291">
        <v>1124590</v>
      </c>
      <c r="C291">
        <f>SUM(B291:B294)</f>
        <v>4498151</v>
      </c>
    </row>
    <row r="292" spans="1:3" x14ac:dyDescent="0.2">
      <c r="A292" t="s">
        <v>39</v>
      </c>
      <c r="B292">
        <v>1115119</v>
      </c>
    </row>
    <row r="293" spans="1:3" x14ac:dyDescent="0.2">
      <c r="A293" t="s">
        <v>39</v>
      </c>
      <c r="B293">
        <v>1136133</v>
      </c>
    </row>
    <row r="294" spans="1:3" x14ac:dyDescent="0.2">
      <c r="A294" t="s">
        <v>39</v>
      </c>
      <c r="B294">
        <v>1122309</v>
      </c>
    </row>
    <row r="295" spans="1:3" x14ac:dyDescent="0.2">
      <c r="A295" t="s">
        <v>39</v>
      </c>
      <c r="B295">
        <v>1124590</v>
      </c>
    </row>
    <row r="296" spans="1:3" x14ac:dyDescent="0.2">
      <c r="A296" t="s">
        <v>39</v>
      </c>
      <c r="B296">
        <v>1115119</v>
      </c>
    </row>
    <row r="297" spans="1:3" x14ac:dyDescent="0.2">
      <c r="A297" t="s">
        <v>39</v>
      </c>
      <c r="B297">
        <v>1136133</v>
      </c>
    </row>
    <row r="298" spans="1:3" x14ac:dyDescent="0.2">
      <c r="A298" t="s">
        <v>39</v>
      </c>
      <c r="B298">
        <v>1122309</v>
      </c>
    </row>
    <row r="299" spans="1:3" x14ac:dyDescent="0.2">
      <c r="A299" t="s">
        <v>40</v>
      </c>
      <c r="B299">
        <v>464</v>
      </c>
      <c r="C299">
        <f>SUM(B299:B302)</f>
        <v>1881</v>
      </c>
    </row>
    <row r="300" spans="1:3" x14ac:dyDescent="0.2">
      <c r="A300" t="s">
        <v>40</v>
      </c>
      <c r="B300">
        <v>474</v>
      </c>
    </row>
    <row r="301" spans="1:3" x14ac:dyDescent="0.2">
      <c r="A301" t="s">
        <v>40</v>
      </c>
      <c r="B301">
        <v>481</v>
      </c>
    </row>
    <row r="302" spans="1:3" x14ac:dyDescent="0.2">
      <c r="A302" t="s">
        <v>40</v>
      </c>
      <c r="B302">
        <v>462</v>
      </c>
    </row>
    <row r="303" spans="1:3" x14ac:dyDescent="0.2">
      <c r="A303" t="s">
        <v>40</v>
      </c>
      <c r="B303">
        <v>464</v>
      </c>
    </row>
    <row r="304" spans="1:3" x14ac:dyDescent="0.2">
      <c r="A304" t="s">
        <v>40</v>
      </c>
      <c r="B304">
        <v>474</v>
      </c>
    </row>
    <row r="305" spans="1:3" x14ac:dyDescent="0.2">
      <c r="A305" t="s">
        <v>40</v>
      </c>
      <c r="B305">
        <v>481</v>
      </c>
    </row>
    <row r="306" spans="1:3" x14ac:dyDescent="0.2">
      <c r="A306" t="s">
        <v>40</v>
      </c>
      <c r="B306">
        <v>462</v>
      </c>
    </row>
    <row r="307" spans="1:3" x14ac:dyDescent="0.2">
      <c r="A307" t="s">
        <v>41</v>
      </c>
      <c r="B307">
        <v>21</v>
      </c>
      <c r="C307">
        <f>SUM(B307:B310)</f>
        <v>66</v>
      </c>
    </row>
    <row r="308" spans="1:3" x14ac:dyDescent="0.2">
      <c r="A308" t="s">
        <v>41</v>
      </c>
      <c r="B308">
        <v>10</v>
      </c>
    </row>
    <row r="309" spans="1:3" x14ac:dyDescent="0.2">
      <c r="A309" t="s">
        <v>41</v>
      </c>
      <c r="B309">
        <v>15</v>
      </c>
    </row>
    <row r="310" spans="1:3" x14ac:dyDescent="0.2">
      <c r="A310" t="s">
        <v>41</v>
      </c>
      <c r="B310">
        <v>20</v>
      </c>
    </row>
    <row r="311" spans="1:3" x14ac:dyDescent="0.2">
      <c r="A311" t="s">
        <v>41</v>
      </c>
      <c r="B311">
        <v>21</v>
      </c>
    </row>
    <row r="312" spans="1:3" x14ac:dyDescent="0.2">
      <c r="A312" t="s">
        <v>41</v>
      </c>
      <c r="B312">
        <v>10</v>
      </c>
    </row>
    <row r="313" spans="1:3" x14ac:dyDescent="0.2">
      <c r="A313" t="s">
        <v>41</v>
      </c>
      <c r="B313">
        <v>15</v>
      </c>
    </row>
    <row r="314" spans="1:3" x14ac:dyDescent="0.2">
      <c r="A314" t="s">
        <v>41</v>
      </c>
      <c r="B314">
        <v>20</v>
      </c>
    </row>
    <row r="315" spans="1:3" x14ac:dyDescent="0.2">
      <c r="A315" t="s">
        <v>42</v>
      </c>
      <c r="B315">
        <v>10</v>
      </c>
      <c r="C315">
        <f>SUM(B315:B318)</f>
        <v>42</v>
      </c>
    </row>
    <row r="316" spans="1:3" x14ac:dyDescent="0.2">
      <c r="A316" t="s">
        <v>42</v>
      </c>
      <c r="B316">
        <v>7</v>
      </c>
    </row>
    <row r="317" spans="1:3" x14ac:dyDescent="0.2">
      <c r="A317" t="s">
        <v>42</v>
      </c>
      <c r="B317">
        <v>14</v>
      </c>
    </row>
    <row r="318" spans="1:3" x14ac:dyDescent="0.2">
      <c r="A318" t="s">
        <v>42</v>
      </c>
      <c r="B318">
        <v>11</v>
      </c>
    </row>
    <row r="319" spans="1:3" x14ac:dyDescent="0.2">
      <c r="A319" t="s">
        <v>42</v>
      </c>
      <c r="B319">
        <v>10</v>
      </c>
    </row>
    <row r="320" spans="1:3" x14ac:dyDescent="0.2">
      <c r="A320" t="s">
        <v>42</v>
      </c>
      <c r="B320">
        <v>7</v>
      </c>
    </row>
    <row r="321" spans="1:3" x14ac:dyDescent="0.2">
      <c r="A321" t="s">
        <v>42</v>
      </c>
      <c r="B321">
        <v>14</v>
      </c>
    </row>
    <row r="322" spans="1:3" x14ac:dyDescent="0.2">
      <c r="A322" t="s">
        <v>42</v>
      </c>
      <c r="B322">
        <v>11</v>
      </c>
    </row>
    <row r="323" spans="1:3" x14ac:dyDescent="0.2">
      <c r="A323" t="s">
        <v>43</v>
      </c>
      <c r="B323">
        <v>197</v>
      </c>
      <c r="C323">
        <f>SUM(B323:B326)</f>
        <v>836</v>
      </c>
    </row>
    <row r="324" spans="1:3" x14ac:dyDescent="0.2">
      <c r="A324" t="s">
        <v>43</v>
      </c>
      <c r="B324">
        <v>226</v>
      </c>
    </row>
    <row r="325" spans="1:3" x14ac:dyDescent="0.2">
      <c r="A325" t="s">
        <v>43</v>
      </c>
      <c r="B325">
        <v>213</v>
      </c>
    </row>
    <row r="326" spans="1:3" x14ac:dyDescent="0.2">
      <c r="A326" t="s">
        <v>43</v>
      </c>
      <c r="B326">
        <v>200</v>
      </c>
    </row>
    <row r="327" spans="1:3" x14ac:dyDescent="0.2">
      <c r="A327" t="s">
        <v>43</v>
      </c>
      <c r="B327">
        <v>197</v>
      </c>
    </row>
    <row r="328" spans="1:3" x14ac:dyDescent="0.2">
      <c r="A328" t="s">
        <v>43</v>
      </c>
      <c r="B328">
        <v>226</v>
      </c>
    </row>
    <row r="329" spans="1:3" x14ac:dyDescent="0.2">
      <c r="A329" t="s">
        <v>43</v>
      </c>
      <c r="B329">
        <v>213</v>
      </c>
    </row>
    <row r="330" spans="1:3" x14ac:dyDescent="0.2">
      <c r="A330" t="s">
        <v>43</v>
      </c>
      <c r="B330">
        <v>200</v>
      </c>
    </row>
    <row r="331" spans="1:3" x14ac:dyDescent="0.2">
      <c r="A331" t="s">
        <v>44</v>
      </c>
      <c r="B331">
        <v>9</v>
      </c>
      <c r="C331">
        <f>SUM(B331:B334)</f>
        <v>35</v>
      </c>
    </row>
    <row r="332" spans="1:3" x14ac:dyDescent="0.2">
      <c r="A332" t="s">
        <v>44</v>
      </c>
      <c r="B332">
        <v>12</v>
      </c>
    </row>
    <row r="333" spans="1:3" x14ac:dyDescent="0.2">
      <c r="A333" t="s">
        <v>44</v>
      </c>
      <c r="B333">
        <v>4</v>
      </c>
    </row>
    <row r="334" spans="1:3" x14ac:dyDescent="0.2">
      <c r="A334" t="s">
        <v>44</v>
      </c>
      <c r="B334">
        <v>10</v>
      </c>
    </row>
    <row r="335" spans="1:3" x14ac:dyDescent="0.2">
      <c r="A335" t="s">
        <v>44</v>
      </c>
      <c r="B335">
        <v>9</v>
      </c>
    </row>
    <row r="336" spans="1:3" x14ac:dyDescent="0.2">
      <c r="A336" t="s">
        <v>44</v>
      </c>
      <c r="B336">
        <v>12</v>
      </c>
    </row>
    <row r="337" spans="1:3" x14ac:dyDescent="0.2">
      <c r="A337" t="s">
        <v>44</v>
      </c>
      <c r="B337">
        <v>4</v>
      </c>
    </row>
    <row r="338" spans="1:3" x14ac:dyDescent="0.2">
      <c r="A338" t="s">
        <v>44</v>
      </c>
      <c r="B338">
        <v>10</v>
      </c>
    </row>
    <row r="339" spans="1:3" x14ac:dyDescent="0.2">
      <c r="A339" t="s">
        <v>45</v>
      </c>
      <c r="B339">
        <v>119</v>
      </c>
      <c r="C339">
        <f>SUM(B339:B342)</f>
        <v>469</v>
      </c>
    </row>
    <row r="340" spans="1:3" x14ac:dyDescent="0.2">
      <c r="A340" t="s">
        <v>45</v>
      </c>
      <c r="B340">
        <v>118</v>
      </c>
    </row>
    <row r="341" spans="1:3" x14ac:dyDescent="0.2">
      <c r="A341" t="s">
        <v>45</v>
      </c>
      <c r="B341">
        <v>115</v>
      </c>
    </row>
    <row r="342" spans="1:3" x14ac:dyDescent="0.2">
      <c r="A342" t="s">
        <v>45</v>
      </c>
      <c r="B342">
        <v>117</v>
      </c>
    </row>
    <row r="343" spans="1:3" x14ac:dyDescent="0.2">
      <c r="A343" t="s">
        <v>45</v>
      </c>
      <c r="B343">
        <v>119</v>
      </c>
    </row>
    <row r="344" spans="1:3" x14ac:dyDescent="0.2">
      <c r="A344" t="s">
        <v>45</v>
      </c>
      <c r="B344">
        <v>118</v>
      </c>
    </row>
    <row r="345" spans="1:3" x14ac:dyDescent="0.2">
      <c r="A345" t="s">
        <v>45</v>
      </c>
      <c r="B345">
        <v>115</v>
      </c>
    </row>
    <row r="346" spans="1:3" x14ac:dyDescent="0.2">
      <c r="A346" t="s">
        <v>45</v>
      </c>
      <c r="B346">
        <v>117</v>
      </c>
    </row>
    <row r="347" spans="1:3" x14ac:dyDescent="0.2">
      <c r="A347" t="s">
        <v>46</v>
      </c>
      <c r="B347">
        <v>62</v>
      </c>
      <c r="C347">
        <f>SUM(B347:B350)</f>
        <v>337</v>
      </c>
    </row>
    <row r="348" spans="1:3" x14ac:dyDescent="0.2">
      <c r="A348" t="s">
        <v>46</v>
      </c>
      <c r="B348">
        <v>87</v>
      </c>
    </row>
    <row r="349" spans="1:3" x14ac:dyDescent="0.2">
      <c r="A349" t="s">
        <v>46</v>
      </c>
      <c r="B349">
        <v>93</v>
      </c>
    </row>
    <row r="350" spans="1:3" x14ac:dyDescent="0.2">
      <c r="A350" t="s">
        <v>46</v>
      </c>
      <c r="B350">
        <v>95</v>
      </c>
    </row>
    <row r="351" spans="1:3" x14ac:dyDescent="0.2">
      <c r="A351" t="s">
        <v>46</v>
      </c>
      <c r="B351">
        <v>62</v>
      </c>
    </row>
    <row r="352" spans="1:3" x14ac:dyDescent="0.2">
      <c r="A352" t="s">
        <v>46</v>
      </c>
      <c r="B352">
        <v>87</v>
      </c>
    </row>
    <row r="353" spans="1:3" x14ac:dyDescent="0.2">
      <c r="A353" t="s">
        <v>46</v>
      </c>
      <c r="B353">
        <v>93</v>
      </c>
    </row>
    <row r="354" spans="1:3" x14ac:dyDescent="0.2">
      <c r="A354" t="s">
        <v>46</v>
      </c>
      <c r="B354">
        <v>95</v>
      </c>
    </row>
    <row r="355" spans="1:3" x14ac:dyDescent="0.2">
      <c r="A355" t="s">
        <v>47</v>
      </c>
      <c r="B355">
        <v>3</v>
      </c>
      <c r="C355">
        <f>SUM(B355:B358)</f>
        <v>13</v>
      </c>
    </row>
    <row r="356" spans="1:3" x14ac:dyDescent="0.2">
      <c r="A356" t="s">
        <v>47</v>
      </c>
      <c r="B356">
        <v>2</v>
      </c>
    </row>
    <row r="357" spans="1:3" x14ac:dyDescent="0.2">
      <c r="A357" t="s">
        <v>47</v>
      </c>
      <c r="B357">
        <v>6</v>
      </c>
    </row>
    <row r="358" spans="1:3" x14ac:dyDescent="0.2">
      <c r="A358" t="s">
        <v>47</v>
      </c>
      <c r="B358">
        <v>2</v>
      </c>
    </row>
    <row r="359" spans="1:3" x14ac:dyDescent="0.2">
      <c r="A359" t="s">
        <v>47</v>
      </c>
      <c r="B359">
        <v>3</v>
      </c>
    </row>
    <row r="360" spans="1:3" x14ac:dyDescent="0.2">
      <c r="A360" t="s">
        <v>47</v>
      </c>
      <c r="B360">
        <v>2</v>
      </c>
    </row>
    <row r="361" spans="1:3" x14ac:dyDescent="0.2">
      <c r="A361" t="s">
        <v>47</v>
      </c>
      <c r="B361">
        <v>6</v>
      </c>
    </row>
    <row r="362" spans="1:3" x14ac:dyDescent="0.2">
      <c r="A362" t="s">
        <v>47</v>
      </c>
      <c r="B362">
        <v>2</v>
      </c>
    </row>
    <row r="363" spans="1:3" x14ac:dyDescent="0.2">
      <c r="A363" t="s">
        <v>48</v>
      </c>
      <c r="B363">
        <v>29</v>
      </c>
      <c r="C363">
        <f>SUM(B363:B366)</f>
        <v>141</v>
      </c>
    </row>
    <row r="364" spans="1:3" x14ac:dyDescent="0.2">
      <c r="A364" t="s">
        <v>48</v>
      </c>
      <c r="B364">
        <v>32</v>
      </c>
    </row>
    <row r="365" spans="1:3" x14ac:dyDescent="0.2">
      <c r="A365" t="s">
        <v>48</v>
      </c>
      <c r="B365">
        <v>38</v>
      </c>
    </row>
    <row r="366" spans="1:3" x14ac:dyDescent="0.2">
      <c r="A366" t="s">
        <v>48</v>
      </c>
      <c r="B366">
        <v>42</v>
      </c>
    </row>
    <row r="367" spans="1:3" x14ac:dyDescent="0.2">
      <c r="A367" t="s">
        <v>48</v>
      </c>
      <c r="B367">
        <v>29</v>
      </c>
    </row>
    <row r="368" spans="1:3" x14ac:dyDescent="0.2">
      <c r="A368" t="s">
        <v>48</v>
      </c>
      <c r="B368">
        <v>32</v>
      </c>
    </row>
    <row r="369" spans="1:3" x14ac:dyDescent="0.2">
      <c r="A369" t="s">
        <v>48</v>
      </c>
      <c r="B369">
        <v>38</v>
      </c>
    </row>
    <row r="370" spans="1:3" x14ac:dyDescent="0.2">
      <c r="A370" t="s">
        <v>48</v>
      </c>
      <c r="B370">
        <v>42</v>
      </c>
    </row>
    <row r="371" spans="1:3" x14ac:dyDescent="0.2">
      <c r="A371" t="s">
        <v>49</v>
      </c>
      <c r="B371">
        <v>6</v>
      </c>
      <c r="C371">
        <f>SUM(B371:B374)</f>
        <v>53</v>
      </c>
    </row>
    <row r="372" spans="1:3" x14ac:dyDescent="0.2">
      <c r="A372" t="s">
        <v>49</v>
      </c>
      <c r="B372">
        <v>16</v>
      </c>
    </row>
    <row r="373" spans="1:3" x14ac:dyDescent="0.2">
      <c r="A373" t="s">
        <v>49</v>
      </c>
      <c r="B373">
        <v>17</v>
      </c>
    </row>
    <row r="374" spans="1:3" x14ac:dyDescent="0.2">
      <c r="A374" t="s">
        <v>49</v>
      </c>
      <c r="B374">
        <v>14</v>
      </c>
    </row>
    <row r="375" spans="1:3" x14ac:dyDescent="0.2">
      <c r="A375" t="s">
        <v>49</v>
      </c>
      <c r="B375">
        <v>6</v>
      </c>
    </row>
    <row r="376" spans="1:3" x14ac:dyDescent="0.2">
      <c r="A376" t="s">
        <v>49</v>
      </c>
      <c r="B376">
        <v>16</v>
      </c>
    </row>
    <row r="377" spans="1:3" x14ac:dyDescent="0.2">
      <c r="A377" t="s">
        <v>49</v>
      </c>
      <c r="B377">
        <v>17</v>
      </c>
    </row>
    <row r="378" spans="1:3" x14ac:dyDescent="0.2">
      <c r="A378" t="s">
        <v>49</v>
      </c>
      <c r="B378">
        <v>14</v>
      </c>
    </row>
    <row r="379" spans="1:3" x14ac:dyDescent="0.2">
      <c r="A379" t="s">
        <v>50</v>
      </c>
      <c r="B379">
        <v>83</v>
      </c>
      <c r="C379">
        <f>SUM(B379:B382)</f>
        <v>349</v>
      </c>
    </row>
    <row r="380" spans="1:3" x14ac:dyDescent="0.2">
      <c r="A380" t="s">
        <v>50</v>
      </c>
      <c r="B380">
        <v>85</v>
      </c>
    </row>
    <row r="381" spans="1:3" x14ac:dyDescent="0.2">
      <c r="A381" t="s">
        <v>50</v>
      </c>
      <c r="B381">
        <v>78</v>
      </c>
    </row>
    <row r="382" spans="1:3" x14ac:dyDescent="0.2">
      <c r="A382" t="s">
        <v>50</v>
      </c>
      <c r="B382">
        <v>103</v>
      </c>
    </row>
    <row r="383" spans="1:3" x14ac:dyDescent="0.2">
      <c r="A383" t="s">
        <v>50</v>
      </c>
      <c r="B383">
        <v>83</v>
      </c>
    </row>
    <row r="384" spans="1:3" x14ac:dyDescent="0.2">
      <c r="A384" t="s">
        <v>50</v>
      </c>
      <c r="B384">
        <v>85</v>
      </c>
    </row>
    <row r="385" spans="1:3" x14ac:dyDescent="0.2">
      <c r="A385" t="s">
        <v>50</v>
      </c>
      <c r="B385">
        <v>78</v>
      </c>
    </row>
    <row r="386" spans="1:3" x14ac:dyDescent="0.2">
      <c r="A386" t="s">
        <v>50</v>
      </c>
      <c r="B386">
        <v>103</v>
      </c>
    </row>
    <row r="387" spans="1:3" x14ac:dyDescent="0.2">
      <c r="A387" t="s">
        <v>51</v>
      </c>
      <c r="B387">
        <v>37</v>
      </c>
      <c r="C387">
        <f>SUM(B387:B390)</f>
        <v>149</v>
      </c>
    </row>
    <row r="388" spans="1:3" x14ac:dyDescent="0.2">
      <c r="A388" t="s">
        <v>51</v>
      </c>
      <c r="B388">
        <v>33</v>
      </c>
    </row>
    <row r="389" spans="1:3" x14ac:dyDescent="0.2">
      <c r="A389" t="s">
        <v>51</v>
      </c>
      <c r="B389">
        <v>45</v>
      </c>
    </row>
    <row r="390" spans="1:3" x14ac:dyDescent="0.2">
      <c r="A390" t="s">
        <v>51</v>
      </c>
      <c r="B390">
        <v>34</v>
      </c>
    </row>
    <row r="391" spans="1:3" x14ac:dyDescent="0.2">
      <c r="A391" t="s">
        <v>51</v>
      </c>
      <c r="B391">
        <v>37</v>
      </c>
    </row>
    <row r="392" spans="1:3" x14ac:dyDescent="0.2">
      <c r="A392" t="s">
        <v>51</v>
      </c>
      <c r="B392">
        <v>33</v>
      </c>
    </row>
    <row r="393" spans="1:3" x14ac:dyDescent="0.2">
      <c r="A393" t="s">
        <v>51</v>
      </c>
      <c r="B393">
        <v>45</v>
      </c>
    </row>
    <row r="394" spans="1:3" x14ac:dyDescent="0.2">
      <c r="A394" t="s">
        <v>51</v>
      </c>
      <c r="B394">
        <v>34</v>
      </c>
    </row>
    <row r="395" spans="1:3" x14ac:dyDescent="0.2">
      <c r="A395" t="s">
        <v>52</v>
      </c>
      <c r="B395">
        <v>11</v>
      </c>
      <c r="C395">
        <f>SUM(B395:B398)</f>
        <v>24</v>
      </c>
    </row>
    <row r="396" spans="1:3" x14ac:dyDescent="0.2">
      <c r="A396" t="s">
        <v>52</v>
      </c>
      <c r="B396">
        <v>2</v>
      </c>
    </row>
    <row r="397" spans="1:3" x14ac:dyDescent="0.2">
      <c r="A397" t="s">
        <v>52</v>
      </c>
      <c r="B397">
        <v>4</v>
      </c>
    </row>
    <row r="398" spans="1:3" x14ac:dyDescent="0.2">
      <c r="A398" t="s">
        <v>52</v>
      </c>
      <c r="B398">
        <v>7</v>
      </c>
    </row>
    <row r="399" spans="1:3" x14ac:dyDescent="0.2">
      <c r="A399" t="s">
        <v>52</v>
      </c>
      <c r="B399">
        <v>11</v>
      </c>
    </row>
    <row r="400" spans="1:3" x14ac:dyDescent="0.2">
      <c r="A400" t="s">
        <v>52</v>
      </c>
      <c r="B400">
        <v>2</v>
      </c>
    </row>
    <row r="401" spans="1:3" x14ac:dyDescent="0.2">
      <c r="A401" t="s">
        <v>52</v>
      </c>
      <c r="B401">
        <v>4</v>
      </c>
    </row>
    <row r="402" spans="1:3" x14ac:dyDescent="0.2">
      <c r="A402" t="s">
        <v>52</v>
      </c>
      <c r="B402">
        <v>7</v>
      </c>
    </row>
    <row r="403" spans="1:3" x14ac:dyDescent="0.2">
      <c r="A403" t="s">
        <v>53</v>
      </c>
      <c r="B403">
        <v>8</v>
      </c>
      <c r="C403">
        <f>SUM(B403:B406)</f>
        <v>39</v>
      </c>
    </row>
    <row r="404" spans="1:3" x14ac:dyDescent="0.2">
      <c r="A404" t="s">
        <v>53</v>
      </c>
      <c r="B404">
        <v>10</v>
      </c>
    </row>
    <row r="405" spans="1:3" x14ac:dyDescent="0.2">
      <c r="A405" t="s">
        <v>53</v>
      </c>
      <c r="B405">
        <v>13</v>
      </c>
    </row>
    <row r="406" spans="1:3" x14ac:dyDescent="0.2">
      <c r="A406" t="s">
        <v>53</v>
      </c>
      <c r="B406">
        <v>8</v>
      </c>
    </row>
    <row r="407" spans="1:3" x14ac:dyDescent="0.2">
      <c r="A407" t="s">
        <v>53</v>
      </c>
      <c r="B407">
        <v>8</v>
      </c>
    </row>
    <row r="408" spans="1:3" x14ac:dyDescent="0.2">
      <c r="A408" t="s">
        <v>53</v>
      </c>
      <c r="B408">
        <v>10</v>
      </c>
    </row>
    <row r="409" spans="1:3" x14ac:dyDescent="0.2">
      <c r="A409" t="s">
        <v>53</v>
      </c>
      <c r="B409">
        <v>13</v>
      </c>
    </row>
    <row r="410" spans="1:3" x14ac:dyDescent="0.2">
      <c r="A410" t="s">
        <v>53</v>
      </c>
      <c r="B410">
        <v>8</v>
      </c>
    </row>
    <row r="411" spans="1:3" x14ac:dyDescent="0.2">
      <c r="A411" t="s">
        <v>54</v>
      </c>
      <c r="B411">
        <v>238</v>
      </c>
      <c r="C411">
        <f>SUM(B411:B414)</f>
        <v>865</v>
      </c>
    </row>
    <row r="412" spans="1:3" x14ac:dyDescent="0.2">
      <c r="A412" t="s">
        <v>54</v>
      </c>
      <c r="B412">
        <v>207</v>
      </c>
    </row>
    <row r="413" spans="1:3" x14ac:dyDescent="0.2">
      <c r="A413" t="s">
        <v>54</v>
      </c>
      <c r="B413">
        <v>209</v>
      </c>
    </row>
    <row r="414" spans="1:3" x14ac:dyDescent="0.2">
      <c r="A414" t="s">
        <v>54</v>
      </c>
      <c r="B414">
        <v>211</v>
      </c>
    </row>
    <row r="415" spans="1:3" x14ac:dyDescent="0.2">
      <c r="A415" t="s">
        <v>54</v>
      </c>
      <c r="B415">
        <v>238</v>
      </c>
    </row>
    <row r="416" spans="1:3" x14ac:dyDescent="0.2">
      <c r="A416" t="s">
        <v>54</v>
      </c>
      <c r="B416">
        <v>207</v>
      </c>
    </row>
    <row r="417" spans="1:3" x14ac:dyDescent="0.2">
      <c r="A417" t="s">
        <v>54</v>
      </c>
      <c r="B417">
        <v>209</v>
      </c>
    </row>
    <row r="418" spans="1:3" x14ac:dyDescent="0.2">
      <c r="A418" t="s">
        <v>54</v>
      </c>
      <c r="B418">
        <v>211</v>
      </c>
    </row>
    <row r="419" spans="1:3" x14ac:dyDescent="0.2">
      <c r="A419" t="s">
        <v>55</v>
      </c>
      <c r="B419">
        <v>2</v>
      </c>
      <c r="C419">
        <f>SUM(B419:B422)</f>
        <v>22</v>
      </c>
    </row>
    <row r="420" spans="1:3" x14ac:dyDescent="0.2">
      <c r="A420" t="s">
        <v>55</v>
      </c>
      <c r="B420">
        <v>7</v>
      </c>
    </row>
    <row r="421" spans="1:3" x14ac:dyDescent="0.2">
      <c r="A421" t="s">
        <v>55</v>
      </c>
      <c r="B421">
        <v>9</v>
      </c>
    </row>
    <row r="422" spans="1:3" x14ac:dyDescent="0.2">
      <c r="A422" t="s">
        <v>55</v>
      </c>
      <c r="B422">
        <v>4</v>
      </c>
    </row>
    <row r="423" spans="1:3" x14ac:dyDescent="0.2">
      <c r="A423" t="s">
        <v>55</v>
      </c>
      <c r="B423">
        <v>2</v>
      </c>
    </row>
    <row r="424" spans="1:3" x14ac:dyDescent="0.2">
      <c r="A424" t="s">
        <v>55</v>
      </c>
      <c r="B424">
        <v>7</v>
      </c>
    </row>
    <row r="425" spans="1:3" x14ac:dyDescent="0.2">
      <c r="A425" t="s">
        <v>55</v>
      </c>
      <c r="B425">
        <v>9</v>
      </c>
    </row>
    <row r="426" spans="1:3" x14ac:dyDescent="0.2">
      <c r="A426" t="s">
        <v>55</v>
      </c>
      <c r="B426">
        <v>4</v>
      </c>
    </row>
    <row r="427" spans="1:3" x14ac:dyDescent="0.2">
      <c r="A427" t="s">
        <v>56</v>
      </c>
      <c r="B427">
        <v>56</v>
      </c>
      <c r="C427">
        <f>SUM(B427:B430)</f>
        <v>253</v>
      </c>
    </row>
    <row r="428" spans="1:3" x14ac:dyDescent="0.2">
      <c r="A428" t="s">
        <v>56</v>
      </c>
      <c r="B428">
        <v>53</v>
      </c>
    </row>
    <row r="429" spans="1:3" x14ac:dyDescent="0.2">
      <c r="A429" t="s">
        <v>56</v>
      </c>
      <c r="B429">
        <v>71</v>
      </c>
    </row>
    <row r="430" spans="1:3" x14ac:dyDescent="0.2">
      <c r="A430" t="s">
        <v>56</v>
      </c>
      <c r="B430">
        <v>73</v>
      </c>
    </row>
    <row r="431" spans="1:3" x14ac:dyDescent="0.2">
      <c r="A431" t="s">
        <v>56</v>
      </c>
      <c r="B431">
        <v>56</v>
      </c>
    </row>
    <row r="432" spans="1:3" x14ac:dyDescent="0.2">
      <c r="A432" t="s">
        <v>56</v>
      </c>
      <c r="B432">
        <v>53</v>
      </c>
    </row>
    <row r="433" spans="1:2" x14ac:dyDescent="0.2">
      <c r="A433" t="s">
        <v>56</v>
      </c>
      <c r="B433">
        <v>71</v>
      </c>
    </row>
    <row r="434" spans="1:2" x14ac:dyDescent="0.2">
      <c r="A434" t="s">
        <v>56</v>
      </c>
      <c r="B434">
        <v>73</v>
      </c>
    </row>
    <row r="435" spans="1:2" x14ac:dyDescent="0.2">
      <c r="A435" t="s">
        <v>57</v>
      </c>
      <c r="B435">
        <v>602</v>
      </c>
    </row>
    <row r="436" spans="1:2" x14ac:dyDescent="0.2">
      <c r="A436" t="s">
        <v>57</v>
      </c>
      <c r="B436">
        <v>625</v>
      </c>
    </row>
    <row r="437" spans="1:2" x14ac:dyDescent="0.2">
      <c r="A437" t="s">
        <v>57</v>
      </c>
      <c r="B437">
        <v>622</v>
      </c>
    </row>
    <row r="438" spans="1:2" x14ac:dyDescent="0.2">
      <c r="A438" t="s">
        <v>57</v>
      </c>
      <c r="B438">
        <v>615</v>
      </c>
    </row>
    <row r="439" spans="1:2" x14ac:dyDescent="0.2">
      <c r="A439" t="s">
        <v>57</v>
      </c>
      <c r="B439">
        <v>602</v>
      </c>
    </row>
    <row r="440" spans="1:2" x14ac:dyDescent="0.2">
      <c r="A440" t="s">
        <v>57</v>
      </c>
      <c r="B440">
        <v>625</v>
      </c>
    </row>
    <row r="441" spans="1:2" x14ac:dyDescent="0.2">
      <c r="A441" t="s">
        <v>57</v>
      </c>
      <c r="B441">
        <v>622</v>
      </c>
    </row>
    <row r="442" spans="1:2" x14ac:dyDescent="0.2">
      <c r="A442" t="s">
        <v>57</v>
      </c>
      <c r="B442">
        <v>615</v>
      </c>
    </row>
    <row r="443" spans="1:2" x14ac:dyDescent="0.2">
      <c r="A443" t="s">
        <v>58</v>
      </c>
      <c r="B443">
        <v>21</v>
      </c>
    </row>
    <row r="444" spans="1:2" x14ac:dyDescent="0.2">
      <c r="A444" t="s">
        <v>58</v>
      </c>
      <c r="B444">
        <v>23</v>
      </c>
    </row>
    <row r="445" spans="1:2" x14ac:dyDescent="0.2">
      <c r="A445" t="s">
        <v>58</v>
      </c>
      <c r="B445">
        <v>22</v>
      </c>
    </row>
    <row r="446" spans="1:2" x14ac:dyDescent="0.2">
      <c r="A446" t="s">
        <v>58</v>
      </c>
      <c r="B446">
        <v>15</v>
      </c>
    </row>
    <row r="447" spans="1:2" x14ac:dyDescent="0.2">
      <c r="A447" t="s">
        <v>58</v>
      </c>
      <c r="B447">
        <v>21</v>
      </c>
    </row>
    <row r="448" spans="1:2" x14ac:dyDescent="0.2">
      <c r="A448" t="s">
        <v>58</v>
      </c>
      <c r="B448">
        <v>23</v>
      </c>
    </row>
    <row r="449" spans="1:2" x14ac:dyDescent="0.2">
      <c r="A449" t="s">
        <v>58</v>
      </c>
      <c r="B449">
        <v>22</v>
      </c>
    </row>
    <row r="450" spans="1:2" x14ac:dyDescent="0.2">
      <c r="A450" t="s">
        <v>58</v>
      </c>
      <c r="B450">
        <v>15</v>
      </c>
    </row>
    <row r="451" spans="1:2" x14ac:dyDescent="0.2">
      <c r="A451" t="s">
        <v>59</v>
      </c>
      <c r="B451">
        <v>8</v>
      </c>
    </row>
    <row r="452" spans="1:2" x14ac:dyDescent="0.2">
      <c r="A452" t="s">
        <v>59</v>
      </c>
      <c r="B452">
        <v>6</v>
      </c>
    </row>
    <row r="453" spans="1:2" x14ac:dyDescent="0.2">
      <c r="A453" t="s">
        <v>59</v>
      </c>
      <c r="B453">
        <v>5</v>
      </c>
    </row>
    <row r="454" spans="1:2" x14ac:dyDescent="0.2">
      <c r="A454" t="s">
        <v>59</v>
      </c>
      <c r="B454">
        <v>9</v>
      </c>
    </row>
    <row r="455" spans="1:2" x14ac:dyDescent="0.2">
      <c r="A455" t="s">
        <v>59</v>
      </c>
      <c r="B455">
        <v>8</v>
      </c>
    </row>
    <row r="456" spans="1:2" x14ac:dyDescent="0.2">
      <c r="A456" t="s">
        <v>59</v>
      </c>
      <c r="B456">
        <v>6</v>
      </c>
    </row>
    <row r="457" spans="1:2" x14ac:dyDescent="0.2">
      <c r="A457" t="s">
        <v>59</v>
      </c>
      <c r="B457">
        <v>5</v>
      </c>
    </row>
    <row r="458" spans="1:2" x14ac:dyDescent="0.2">
      <c r="A458" t="s">
        <v>59</v>
      </c>
      <c r="B458">
        <v>9</v>
      </c>
    </row>
    <row r="459" spans="1:2" x14ac:dyDescent="0.2">
      <c r="A459" t="s">
        <v>60</v>
      </c>
      <c r="B459">
        <v>147</v>
      </c>
    </row>
    <row r="460" spans="1:2" x14ac:dyDescent="0.2">
      <c r="A460" t="s">
        <v>60</v>
      </c>
      <c r="B460">
        <v>148</v>
      </c>
    </row>
    <row r="461" spans="1:2" x14ac:dyDescent="0.2">
      <c r="A461" t="s">
        <v>60</v>
      </c>
      <c r="B461">
        <v>129</v>
      </c>
    </row>
    <row r="462" spans="1:2" x14ac:dyDescent="0.2">
      <c r="A462" t="s">
        <v>60</v>
      </c>
      <c r="B462">
        <v>144</v>
      </c>
    </row>
    <row r="463" spans="1:2" x14ac:dyDescent="0.2">
      <c r="A463" t="s">
        <v>60</v>
      </c>
      <c r="B463">
        <v>147</v>
      </c>
    </row>
    <row r="464" spans="1:2" x14ac:dyDescent="0.2">
      <c r="A464" t="s">
        <v>60</v>
      </c>
      <c r="B464">
        <v>148</v>
      </c>
    </row>
    <row r="465" spans="1:2" x14ac:dyDescent="0.2">
      <c r="A465" t="s">
        <v>60</v>
      </c>
      <c r="B465">
        <v>129</v>
      </c>
    </row>
    <row r="466" spans="1:2" x14ac:dyDescent="0.2">
      <c r="A466" t="s">
        <v>60</v>
      </c>
      <c r="B466">
        <v>144</v>
      </c>
    </row>
    <row r="467" spans="1:2" x14ac:dyDescent="0.2">
      <c r="A467" t="s">
        <v>61</v>
      </c>
      <c r="B467">
        <v>97</v>
      </c>
    </row>
    <row r="468" spans="1:2" x14ac:dyDescent="0.2">
      <c r="A468" t="s">
        <v>61</v>
      </c>
      <c r="B468">
        <v>98</v>
      </c>
    </row>
    <row r="469" spans="1:2" x14ac:dyDescent="0.2">
      <c r="A469" t="s">
        <v>61</v>
      </c>
      <c r="B469">
        <v>128</v>
      </c>
    </row>
    <row r="470" spans="1:2" x14ac:dyDescent="0.2">
      <c r="A470" t="s">
        <v>61</v>
      </c>
      <c r="B470">
        <v>98</v>
      </c>
    </row>
    <row r="471" spans="1:2" x14ac:dyDescent="0.2">
      <c r="A471" t="s">
        <v>61</v>
      </c>
      <c r="B471">
        <v>97</v>
      </c>
    </row>
    <row r="472" spans="1:2" x14ac:dyDescent="0.2">
      <c r="A472" t="s">
        <v>61</v>
      </c>
      <c r="B472">
        <v>98</v>
      </c>
    </row>
    <row r="473" spans="1:2" x14ac:dyDescent="0.2">
      <c r="A473" t="s">
        <v>61</v>
      </c>
      <c r="B473">
        <v>128</v>
      </c>
    </row>
    <row r="474" spans="1:2" x14ac:dyDescent="0.2">
      <c r="A474" t="s">
        <v>61</v>
      </c>
      <c r="B474">
        <v>98</v>
      </c>
    </row>
    <row r="475" spans="1:2" x14ac:dyDescent="0.2">
      <c r="A475" t="s">
        <v>62</v>
      </c>
      <c r="B475">
        <v>10</v>
      </c>
    </row>
    <row r="476" spans="1:2" x14ac:dyDescent="0.2">
      <c r="A476" t="s">
        <v>62</v>
      </c>
      <c r="B476">
        <v>14</v>
      </c>
    </row>
    <row r="477" spans="1:2" x14ac:dyDescent="0.2">
      <c r="A477" t="s">
        <v>62</v>
      </c>
      <c r="B477">
        <v>8</v>
      </c>
    </row>
    <row r="478" spans="1:2" x14ac:dyDescent="0.2">
      <c r="A478" t="s">
        <v>62</v>
      </c>
      <c r="B478">
        <v>11</v>
      </c>
    </row>
    <row r="479" spans="1:2" x14ac:dyDescent="0.2">
      <c r="A479" t="s">
        <v>62</v>
      </c>
      <c r="B479">
        <v>10</v>
      </c>
    </row>
    <row r="480" spans="1:2" x14ac:dyDescent="0.2">
      <c r="A480" t="s">
        <v>62</v>
      </c>
      <c r="B480">
        <v>14</v>
      </c>
    </row>
    <row r="481" spans="1:2" x14ac:dyDescent="0.2">
      <c r="A481" t="s">
        <v>62</v>
      </c>
      <c r="B481">
        <v>8</v>
      </c>
    </row>
    <row r="482" spans="1:2" x14ac:dyDescent="0.2">
      <c r="A482" t="s">
        <v>62</v>
      </c>
      <c r="B482">
        <v>11</v>
      </c>
    </row>
    <row r="483" spans="1:2" x14ac:dyDescent="0.2">
      <c r="A483" t="s">
        <v>63</v>
      </c>
      <c r="B483">
        <v>10</v>
      </c>
    </row>
    <row r="484" spans="1:2" x14ac:dyDescent="0.2">
      <c r="A484" t="s">
        <v>63</v>
      </c>
      <c r="B484">
        <v>10</v>
      </c>
    </row>
    <row r="485" spans="1:2" x14ac:dyDescent="0.2">
      <c r="A485" t="s">
        <v>63</v>
      </c>
      <c r="B485">
        <v>12</v>
      </c>
    </row>
    <row r="486" spans="1:2" x14ac:dyDescent="0.2">
      <c r="A486" t="s">
        <v>63</v>
      </c>
      <c r="B486">
        <v>8</v>
      </c>
    </row>
    <row r="487" spans="1:2" x14ac:dyDescent="0.2">
      <c r="A487" t="s">
        <v>63</v>
      </c>
      <c r="B487">
        <v>10</v>
      </c>
    </row>
    <row r="488" spans="1:2" x14ac:dyDescent="0.2">
      <c r="A488" t="s">
        <v>63</v>
      </c>
      <c r="B488">
        <v>10</v>
      </c>
    </row>
    <row r="489" spans="1:2" x14ac:dyDescent="0.2">
      <c r="A489" t="s">
        <v>63</v>
      </c>
      <c r="B489">
        <v>12</v>
      </c>
    </row>
    <row r="490" spans="1:2" x14ac:dyDescent="0.2">
      <c r="A490" t="s">
        <v>63</v>
      </c>
      <c r="B490">
        <v>8</v>
      </c>
    </row>
    <row r="491" spans="1:2" x14ac:dyDescent="0.2">
      <c r="A491" t="s">
        <v>64</v>
      </c>
      <c r="B491">
        <v>265</v>
      </c>
    </row>
    <row r="492" spans="1:2" x14ac:dyDescent="0.2">
      <c r="A492" t="s">
        <v>64</v>
      </c>
      <c r="B492">
        <v>240</v>
      </c>
    </row>
    <row r="493" spans="1:2" x14ac:dyDescent="0.2">
      <c r="A493" t="s">
        <v>64</v>
      </c>
      <c r="B493">
        <v>262</v>
      </c>
    </row>
    <row r="494" spans="1:2" x14ac:dyDescent="0.2">
      <c r="A494" t="s">
        <v>64</v>
      </c>
      <c r="B494">
        <v>245</v>
      </c>
    </row>
    <row r="495" spans="1:2" x14ac:dyDescent="0.2">
      <c r="A495" t="s">
        <v>64</v>
      </c>
      <c r="B495">
        <v>265</v>
      </c>
    </row>
    <row r="496" spans="1:2" x14ac:dyDescent="0.2">
      <c r="A496" t="s">
        <v>64</v>
      </c>
      <c r="B496">
        <v>240</v>
      </c>
    </row>
    <row r="497" spans="1:2" x14ac:dyDescent="0.2">
      <c r="A497" t="s">
        <v>64</v>
      </c>
      <c r="B497">
        <v>262</v>
      </c>
    </row>
    <row r="498" spans="1:2" x14ac:dyDescent="0.2">
      <c r="A498" t="s">
        <v>64</v>
      </c>
      <c r="B498">
        <v>245</v>
      </c>
    </row>
    <row r="499" spans="1:2" x14ac:dyDescent="0.2">
      <c r="A499" t="s">
        <v>65</v>
      </c>
      <c r="B499">
        <v>20</v>
      </c>
    </row>
    <row r="500" spans="1:2" x14ac:dyDescent="0.2">
      <c r="A500" t="s">
        <v>65</v>
      </c>
      <c r="B500">
        <v>21</v>
      </c>
    </row>
    <row r="501" spans="1:2" x14ac:dyDescent="0.2">
      <c r="A501" t="s">
        <v>65</v>
      </c>
      <c r="B501">
        <v>16</v>
      </c>
    </row>
    <row r="502" spans="1:2" x14ac:dyDescent="0.2">
      <c r="A502" t="s">
        <v>65</v>
      </c>
      <c r="B502">
        <v>19</v>
      </c>
    </row>
    <row r="503" spans="1:2" x14ac:dyDescent="0.2">
      <c r="A503" t="s">
        <v>65</v>
      </c>
      <c r="B503">
        <v>20</v>
      </c>
    </row>
    <row r="504" spans="1:2" x14ac:dyDescent="0.2">
      <c r="A504" t="s">
        <v>65</v>
      </c>
      <c r="B504">
        <v>21</v>
      </c>
    </row>
    <row r="505" spans="1:2" x14ac:dyDescent="0.2">
      <c r="A505" t="s">
        <v>65</v>
      </c>
      <c r="B505">
        <v>16</v>
      </c>
    </row>
    <row r="506" spans="1:2" x14ac:dyDescent="0.2">
      <c r="A506" t="s">
        <v>65</v>
      </c>
      <c r="B506">
        <v>19</v>
      </c>
    </row>
    <row r="507" spans="1:2" x14ac:dyDescent="0.2">
      <c r="A507" t="s">
        <v>66</v>
      </c>
      <c r="B507">
        <v>21</v>
      </c>
    </row>
    <row r="508" spans="1:2" x14ac:dyDescent="0.2">
      <c r="A508" t="s">
        <v>66</v>
      </c>
      <c r="B508">
        <v>15</v>
      </c>
    </row>
    <row r="509" spans="1:2" x14ac:dyDescent="0.2">
      <c r="A509" t="s">
        <v>66</v>
      </c>
      <c r="B509">
        <v>21</v>
      </c>
    </row>
    <row r="510" spans="1:2" x14ac:dyDescent="0.2">
      <c r="A510" t="s">
        <v>66</v>
      </c>
      <c r="B510">
        <v>20</v>
      </c>
    </row>
    <row r="511" spans="1:2" x14ac:dyDescent="0.2">
      <c r="A511" t="s">
        <v>66</v>
      </c>
      <c r="B511">
        <v>21</v>
      </c>
    </row>
    <row r="512" spans="1:2" x14ac:dyDescent="0.2">
      <c r="A512" t="s">
        <v>66</v>
      </c>
      <c r="B512">
        <v>15</v>
      </c>
    </row>
    <row r="513" spans="1:2" x14ac:dyDescent="0.2">
      <c r="A513" t="s">
        <v>66</v>
      </c>
      <c r="B513">
        <v>21</v>
      </c>
    </row>
    <row r="514" spans="1:2" x14ac:dyDescent="0.2">
      <c r="A514" t="s">
        <v>66</v>
      </c>
      <c r="B514">
        <v>20</v>
      </c>
    </row>
    <row r="515" spans="1:2" x14ac:dyDescent="0.2">
      <c r="A515" t="s">
        <v>67</v>
      </c>
      <c r="B515">
        <v>469</v>
      </c>
    </row>
    <row r="516" spans="1:2" x14ac:dyDescent="0.2">
      <c r="A516" t="s">
        <v>67</v>
      </c>
      <c r="B516">
        <v>581</v>
      </c>
    </row>
    <row r="517" spans="1:2" x14ac:dyDescent="0.2">
      <c r="A517" t="s">
        <v>67</v>
      </c>
      <c r="B517">
        <v>532</v>
      </c>
    </row>
    <row r="518" spans="1:2" x14ac:dyDescent="0.2">
      <c r="A518" t="s">
        <v>67</v>
      </c>
      <c r="B518">
        <v>568</v>
      </c>
    </row>
    <row r="519" spans="1:2" x14ac:dyDescent="0.2">
      <c r="A519" t="s">
        <v>67</v>
      </c>
      <c r="B519">
        <v>469</v>
      </c>
    </row>
    <row r="520" spans="1:2" x14ac:dyDescent="0.2">
      <c r="A520" t="s">
        <v>67</v>
      </c>
      <c r="B520">
        <v>581</v>
      </c>
    </row>
    <row r="521" spans="1:2" x14ac:dyDescent="0.2">
      <c r="A521" t="s">
        <v>67</v>
      </c>
      <c r="B521">
        <v>532</v>
      </c>
    </row>
    <row r="522" spans="1:2" x14ac:dyDescent="0.2">
      <c r="A522" t="s">
        <v>67</v>
      </c>
      <c r="B522">
        <v>568</v>
      </c>
    </row>
    <row r="523" spans="1:2" x14ac:dyDescent="0.2">
      <c r="A523" t="s">
        <v>68</v>
      </c>
      <c r="B523">
        <v>15</v>
      </c>
    </row>
    <row r="524" spans="1:2" x14ac:dyDescent="0.2">
      <c r="A524" t="s">
        <v>68</v>
      </c>
      <c r="B524">
        <v>14</v>
      </c>
    </row>
    <row r="525" spans="1:2" x14ac:dyDescent="0.2">
      <c r="A525" t="s">
        <v>68</v>
      </c>
      <c r="B525">
        <v>14</v>
      </c>
    </row>
    <row r="526" spans="1:2" x14ac:dyDescent="0.2">
      <c r="A526" t="s">
        <v>68</v>
      </c>
      <c r="B526">
        <v>26</v>
      </c>
    </row>
    <row r="527" spans="1:2" x14ac:dyDescent="0.2">
      <c r="A527" t="s">
        <v>68</v>
      </c>
      <c r="B527">
        <v>15</v>
      </c>
    </row>
    <row r="528" spans="1:2" x14ac:dyDescent="0.2">
      <c r="A528" t="s">
        <v>68</v>
      </c>
      <c r="B528">
        <v>14</v>
      </c>
    </row>
    <row r="529" spans="1:2" x14ac:dyDescent="0.2">
      <c r="A529" t="s">
        <v>68</v>
      </c>
      <c r="B529">
        <v>14</v>
      </c>
    </row>
    <row r="530" spans="1:2" x14ac:dyDescent="0.2">
      <c r="A530" t="s">
        <v>68</v>
      </c>
      <c r="B530">
        <v>26</v>
      </c>
    </row>
    <row r="531" spans="1:2" x14ac:dyDescent="0.2">
      <c r="A531" t="s">
        <v>69</v>
      </c>
      <c r="B531">
        <v>17</v>
      </c>
    </row>
    <row r="532" spans="1:2" x14ac:dyDescent="0.2">
      <c r="A532" t="s">
        <v>69</v>
      </c>
      <c r="B532">
        <v>17</v>
      </c>
    </row>
    <row r="533" spans="1:2" x14ac:dyDescent="0.2">
      <c r="A533" t="s">
        <v>69</v>
      </c>
      <c r="B533">
        <v>15</v>
      </c>
    </row>
    <row r="534" spans="1:2" x14ac:dyDescent="0.2">
      <c r="A534" t="s">
        <v>69</v>
      </c>
      <c r="B534">
        <v>13</v>
      </c>
    </row>
    <row r="535" spans="1:2" x14ac:dyDescent="0.2">
      <c r="A535" t="s">
        <v>69</v>
      </c>
      <c r="B535">
        <v>17</v>
      </c>
    </row>
    <row r="536" spans="1:2" x14ac:dyDescent="0.2">
      <c r="A536" t="s">
        <v>69</v>
      </c>
      <c r="B536">
        <v>17</v>
      </c>
    </row>
    <row r="537" spans="1:2" x14ac:dyDescent="0.2">
      <c r="A537" t="s">
        <v>69</v>
      </c>
      <c r="B537">
        <v>15</v>
      </c>
    </row>
    <row r="538" spans="1:2" x14ac:dyDescent="0.2">
      <c r="A538" t="s">
        <v>69</v>
      </c>
      <c r="B538">
        <v>13</v>
      </c>
    </row>
    <row r="539" spans="1:2" x14ac:dyDescent="0.2">
      <c r="A539" t="s">
        <v>70</v>
      </c>
      <c r="B539">
        <v>1349</v>
      </c>
    </row>
    <row r="540" spans="1:2" x14ac:dyDescent="0.2">
      <c r="A540" t="s">
        <v>70</v>
      </c>
      <c r="B540">
        <v>1338</v>
      </c>
    </row>
    <row r="541" spans="1:2" x14ac:dyDescent="0.2">
      <c r="A541" t="s">
        <v>70</v>
      </c>
      <c r="B541">
        <v>1315</v>
      </c>
    </row>
    <row r="542" spans="1:2" x14ac:dyDescent="0.2">
      <c r="A542" t="s">
        <v>70</v>
      </c>
      <c r="B542">
        <v>1349</v>
      </c>
    </row>
    <row r="543" spans="1:2" x14ac:dyDescent="0.2">
      <c r="A543" t="s">
        <v>70</v>
      </c>
      <c r="B543">
        <v>1349</v>
      </c>
    </row>
    <row r="544" spans="1:2" x14ac:dyDescent="0.2">
      <c r="A544" t="s">
        <v>70</v>
      </c>
      <c r="B544">
        <v>1338</v>
      </c>
    </row>
    <row r="545" spans="1:2" x14ac:dyDescent="0.2">
      <c r="A545" t="s">
        <v>70</v>
      </c>
      <c r="B545">
        <v>1315</v>
      </c>
    </row>
    <row r="546" spans="1:2" x14ac:dyDescent="0.2">
      <c r="A546" t="s">
        <v>70</v>
      </c>
      <c r="B546">
        <v>1349</v>
      </c>
    </row>
    <row r="547" spans="1:2" x14ac:dyDescent="0.2">
      <c r="A547" t="s">
        <v>71</v>
      </c>
      <c r="B547">
        <v>79</v>
      </c>
    </row>
    <row r="548" spans="1:2" x14ac:dyDescent="0.2">
      <c r="A548" t="s">
        <v>71</v>
      </c>
      <c r="B548">
        <v>75</v>
      </c>
    </row>
    <row r="549" spans="1:2" x14ac:dyDescent="0.2">
      <c r="A549" t="s">
        <v>71</v>
      </c>
      <c r="B549">
        <v>87</v>
      </c>
    </row>
    <row r="550" spans="1:2" x14ac:dyDescent="0.2">
      <c r="A550" t="s">
        <v>71</v>
      </c>
      <c r="B550">
        <v>92</v>
      </c>
    </row>
    <row r="551" spans="1:2" x14ac:dyDescent="0.2">
      <c r="A551" t="s">
        <v>71</v>
      </c>
      <c r="B551">
        <v>79</v>
      </c>
    </row>
    <row r="552" spans="1:2" x14ac:dyDescent="0.2">
      <c r="A552" t="s">
        <v>71</v>
      </c>
      <c r="B552">
        <v>75</v>
      </c>
    </row>
    <row r="553" spans="1:2" x14ac:dyDescent="0.2">
      <c r="A553" t="s">
        <v>71</v>
      </c>
      <c r="B553">
        <v>87</v>
      </c>
    </row>
    <row r="554" spans="1:2" x14ac:dyDescent="0.2">
      <c r="A554" t="s">
        <v>71</v>
      </c>
      <c r="B554">
        <v>92</v>
      </c>
    </row>
    <row r="555" spans="1:2" x14ac:dyDescent="0.2">
      <c r="A555" t="s">
        <v>72</v>
      </c>
      <c r="B555">
        <v>3</v>
      </c>
    </row>
    <row r="556" spans="1:2" x14ac:dyDescent="0.2">
      <c r="A556" t="s">
        <v>72</v>
      </c>
      <c r="B556">
        <v>3</v>
      </c>
    </row>
    <row r="557" spans="1:2" x14ac:dyDescent="0.2">
      <c r="A557" t="s">
        <v>72</v>
      </c>
    </row>
    <row r="558" spans="1:2" x14ac:dyDescent="0.2">
      <c r="A558" t="s">
        <v>72</v>
      </c>
      <c r="B558">
        <v>4</v>
      </c>
    </row>
    <row r="559" spans="1:2" x14ac:dyDescent="0.2">
      <c r="A559" t="s">
        <v>72</v>
      </c>
      <c r="B559">
        <v>3</v>
      </c>
    </row>
    <row r="560" spans="1:2" x14ac:dyDescent="0.2">
      <c r="A560" t="s">
        <v>72</v>
      </c>
      <c r="B560">
        <v>3</v>
      </c>
    </row>
    <row r="561" spans="1:2" x14ac:dyDescent="0.2">
      <c r="A561" t="s">
        <v>72</v>
      </c>
    </row>
    <row r="562" spans="1:2" x14ac:dyDescent="0.2">
      <c r="A562" t="s">
        <v>72</v>
      </c>
      <c r="B562">
        <v>4</v>
      </c>
    </row>
    <row r="563" spans="1:2" x14ac:dyDescent="0.2">
      <c r="A563" t="s">
        <v>73</v>
      </c>
      <c r="B563">
        <v>361</v>
      </c>
    </row>
    <row r="564" spans="1:2" x14ac:dyDescent="0.2">
      <c r="A564" t="s">
        <v>73</v>
      </c>
      <c r="B564">
        <v>401</v>
      </c>
    </row>
    <row r="565" spans="1:2" x14ac:dyDescent="0.2">
      <c r="A565" t="s">
        <v>73</v>
      </c>
      <c r="B565">
        <v>411</v>
      </c>
    </row>
    <row r="566" spans="1:2" x14ac:dyDescent="0.2">
      <c r="A566" t="s">
        <v>73</v>
      </c>
      <c r="B566">
        <v>427</v>
      </c>
    </row>
    <row r="567" spans="1:2" x14ac:dyDescent="0.2">
      <c r="A567" t="s">
        <v>73</v>
      </c>
      <c r="B567">
        <v>361</v>
      </c>
    </row>
    <row r="568" spans="1:2" x14ac:dyDescent="0.2">
      <c r="A568" t="s">
        <v>73</v>
      </c>
      <c r="B568">
        <v>401</v>
      </c>
    </row>
    <row r="569" spans="1:2" x14ac:dyDescent="0.2">
      <c r="A569" t="s">
        <v>73</v>
      </c>
      <c r="B569">
        <v>411</v>
      </c>
    </row>
    <row r="570" spans="1:2" x14ac:dyDescent="0.2">
      <c r="A570" t="s">
        <v>73</v>
      </c>
      <c r="B570">
        <v>427</v>
      </c>
    </row>
    <row r="571" spans="1:2" x14ac:dyDescent="0.2">
      <c r="A571" t="s">
        <v>74</v>
      </c>
      <c r="B571">
        <v>33</v>
      </c>
    </row>
    <row r="572" spans="1:2" x14ac:dyDescent="0.2">
      <c r="A572" t="s">
        <v>74</v>
      </c>
      <c r="B572">
        <v>62</v>
      </c>
    </row>
    <row r="573" spans="1:2" x14ac:dyDescent="0.2">
      <c r="A573" t="s">
        <v>74</v>
      </c>
      <c r="B573">
        <v>53</v>
      </c>
    </row>
    <row r="574" spans="1:2" x14ac:dyDescent="0.2">
      <c r="A574" t="s">
        <v>74</v>
      </c>
      <c r="B574">
        <v>56</v>
      </c>
    </row>
    <row r="575" spans="1:2" x14ac:dyDescent="0.2">
      <c r="A575" t="s">
        <v>74</v>
      </c>
      <c r="B575">
        <v>33</v>
      </c>
    </row>
    <row r="576" spans="1:2" x14ac:dyDescent="0.2">
      <c r="A576" t="s">
        <v>74</v>
      </c>
      <c r="B576">
        <v>62</v>
      </c>
    </row>
    <row r="577" spans="1:2" x14ac:dyDescent="0.2">
      <c r="A577" t="s">
        <v>74</v>
      </c>
      <c r="B577">
        <v>53</v>
      </c>
    </row>
    <row r="578" spans="1:2" x14ac:dyDescent="0.2">
      <c r="A578" t="s">
        <v>74</v>
      </c>
      <c r="B578">
        <v>56</v>
      </c>
    </row>
    <row r="579" spans="1:2" x14ac:dyDescent="0.2">
      <c r="A579" t="s">
        <v>75</v>
      </c>
      <c r="B579">
        <v>50</v>
      </c>
    </row>
    <row r="580" spans="1:2" x14ac:dyDescent="0.2">
      <c r="A580" t="s">
        <v>75</v>
      </c>
      <c r="B580">
        <v>66</v>
      </c>
    </row>
    <row r="581" spans="1:2" x14ac:dyDescent="0.2">
      <c r="A581" t="s">
        <v>75</v>
      </c>
      <c r="B581">
        <v>56</v>
      </c>
    </row>
    <row r="582" spans="1:2" x14ac:dyDescent="0.2">
      <c r="A582" t="s">
        <v>75</v>
      </c>
      <c r="B582">
        <v>56</v>
      </c>
    </row>
    <row r="583" spans="1:2" x14ac:dyDescent="0.2">
      <c r="A583" t="s">
        <v>75</v>
      </c>
      <c r="B583">
        <v>50</v>
      </c>
    </row>
    <row r="584" spans="1:2" x14ac:dyDescent="0.2">
      <c r="A584" t="s">
        <v>75</v>
      </c>
      <c r="B584">
        <v>66</v>
      </c>
    </row>
    <row r="585" spans="1:2" x14ac:dyDescent="0.2">
      <c r="A585" t="s">
        <v>75</v>
      </c>
      <c r="B585">
        <v>56</v>
      </c>
    </row>
    <row r="586" spans="1:2" x14ac:dyDescent="0.2">
      <c r="A586" t="s">
        <v>75</v>
      </c>
      <c r="B586">
        <v>56</v>
      </c>
    </row>
    <row r="587" spans="1:2" x14ac:dyDescent="0.2">
      <c r="A587" t="s">
        <v>76</v>
      </c>
      <c r="B587">
        <v>149</v>
      </c>
    </row>
    <row r="588" spans="1:2" x14ac:dyDescent="0.2">
      <c r="A588" t="s">
        <v>76</v>
      </c>
      <c r="B588">
        <v>162</v>
      </c>
    </row>
    <row r="589" spans="1:2" x14ac:dyDescent="0.2">
      <c r="A589" t="s">
        <v>76</v>
      </c>
      <c r="B589">
        <v>136</v>
      </c>
    </row>
    <row r="590" spans="1:2" x14ac:dyDescent="0.2">
      <c r="A590" t="s">
        <v>76</v>
      </c>
      <c r="B590">
        <v>158</v>
      </c>
    </row>
    <row r="591" spans="1:2" x14ac:dyDescent="0.2">
      <c r="A591" t="s">
        <v>76</v>
      </c>
      <c r="B591">
        <v>149</v>
      </c>
    </row>
    <row r="592" spans="1:2" x14ac:dyDescent="0.2">
      <c r="A592" t="s">
        <v>76</v>
      </c>
      <c r="B592">
        <v>162</v>
      </c>
    </row>
    <row r="593" spans="1:2" x14ac:dyDescent="0.2">
      <c r="A593" t="s">
        <v>76</v>
      </c>
      <c r="B593">
        <v>136</v>
      </c>
    </row>
    <row r="594" spans="1:2" x14ac:dyDescent="0.2">
      <c r="A594" t="s">
        <v>76</v>
      </c>
      <c r="B594">
        <v>158</v>
      </c>
    </row>
    <row r="595" spans="1:2" x14ac:dyDescent="0.2">
      <c r="A595" t="s">
        <v>77</v>
      </c>
      <c r="B595">
        <v>85</v>
      </c>
    </row>
    <row r="596" spans="1:2" x14ac:dyDescent="0.2">
      <c r="A596" t="s">
        <v>77</v>
      </c>
      <c r="B596">
        <v>75</v>
      </c>
    </row>
    <row r="597" spans="1:2" x14ac:dyDescent="0.2">
      <c r="A597" t="s">
        <v>77</v>
      </c>
      <c r="B597">
        <v>85</v>
      </c>
    </row>
    <row r="598" spans="1:2" x14ac:dyDescent="0.2">
      <c r="A598" t="s">
        <v>77</v>
      </c>
      <c r="B598">
        <v>69</v>
      </c>
    </row>
    <row r="599" spans="1:2" x14ac:dyDescent="0.2">
      <c r="A599" t="s">
        <v>77</v>
      </c>
      <c r="B599">
        <v>85</v>
      </c>
    </row>
    <row r="600" spans="1:2" x14ac:dyDescent="0.2">
      <c r="A600" t="s">
        <v>77</v>
      </c>
      <c r="B600">
        <v>75</v>
      </c>
    </row>
    <row r="601" spans="1:2" x14ac:dyDescent="0.2">
      <c r="A601" t="s">
        <v>77</v>
      </c>
      <c r="B601">
        <v>85</v>
      </c>
    </row>
    <row r="602" spans="1:2" x14ac:dyDescent="0.2">
      <c r="A602" t="s">
        <v>77</v>
      </c>
      <c r="B602">
        <v>69</v>
      </c>
    </row>
    <row r="603" spans="1:2" x14ac:dyDescent="0.2">
      <c r="A603" t="s">
        <v>78</v>
      </c>
      <c r="B603">
        <v>19</v>
      </c>
    </row>
    <row r="604" spans="1:2" x14ac:dyDescent="0.2">
      <c r="A604" t="s">
        <v>78</v>
      </c>
      <c r="B604">
        <v>15</v>
      </c>
    </row>
    <row r="605" spans="1:2" x14ac:dyDescent="0.2">
      <c r="A605" t="s">
        <v>78</v>
      </c>
      <c r="B605">
        <v>10</v>
      </c>
    </row>
    <row r="606" spans="1:2" x14ac:dyDescent="0.2">
      <c r="A606" t="s">
        <v>78</v>
      </c>
      <c r="B606">
        <v>14</v>
      </c>
    </row>
    <row r="607" spans="1:2" x14ac:dyDescent="0.2">
      <c r="A607" t="s">
        <v>78</v>
      </c>
      <c r="B607">
        <v>19</v>
      </c>
    </row>
    <row r="608" spans="1:2" x14ac:dyDescent="0.2">
      <c r="A608" t="s">
        <v>78</v>
      </c>
      <c r="B608">
        <v>15</v>
      </c>
    </row>
    <row r="609" spans="1:2" x14ac:dyDescent="0.2">
      <c r="A609" t="s">
        <v>78</v>
      </c>
      <c r="B609">
        <v>10</v>
      </c>
    </row>
    <row r="610" spans="1:2" x14ac:dyDescent="0.2">
      <c r="A610" t="s">
        <v>78</v>
      </c>
      <c r="B610">
        <v>14</v>
      </c>
    </row>
    <row r="611" spans="1:2" x14ac:dyDescent="0.2">
      <c r="A611" t="s">
        <v>79</v>
      </c>
      <c r="B611">
        <v>30</v>
      </c>
    </row>
    <row r="612" spans="1:2" x14ac:dyDescent="0.2">
      <c r="A612" t="s">
        <v>79</v>
      </c>
      <c r="B612">
        <v>42</v>
      </c>
    </row>
    <row r="613" spans="1:2" x14ac:dyDescent="0.2">
      <c r="A613" t="s">
        <v>79</v>
      </c>
      <c r="B613">
        <v>24</v>
      </c>
    </row>
    <row r="614" spans="1:2" x14ac:dyDescent="0.2">
      <c r="A614" t="s">
        <v>79</v>
      </c>
      <c r="B614">
        <v>35</v>
      </c>
    </row>
    <row r="615" spans="1:2" x14ac:dyDescent="0.2">
      <c r="A615" t="s">
        <v>79</v>
      </c>
      <c r="B615">
        <v>30</v>
      </c>
    </row>
    <row r="616" spans="1:2" x14ac:dyDescent="0.2">
      <c r="A616" t="s">
        <v>79</v>
      </c>
      <c r="B616">
        <v>42</v>
      </c>
    </row>
    <row r="617" spans="1:2" x14ac:dyDescent="0.2">
      <c r="A617" t="s">
        <v>79</v>
      </c>
      <c r="B617">
        <v>24</v>
      </c>
    </row>
    <row r="618" spans="1:2" x14ac:dyDescent="0.2">
      <c r="A618" t="s">
        <v>79</v>
      </c>
      <c r="B618">
        <v>35</v>
      </c>
    </row>
    <row r="619" spans="1:2" x14ac:dyDescent="0.2">
      <c r="A619" t="s">
        <v>3</v>
      </c>
      <c r="B619">
        <v>36463591</v>
      </c>
    </row>
    <row r="620" spans="1:2" x14ac:dyDescent="0.2">
      <c r="A620" t="s">
        <v>3</v>
      </c>
      <c r="B620">
        <v>36124685</v>
      </c>
    </row>
    <row r="621" spans="1:2" x14ac:dyDescent="0.2">
      <c r="A621" t="s">
        <v>3</v>
      </c>
      <c r="B621">
        <v>36701937</v>
      </c>
    </row>
    <row r="622" spans="1:2" x14ac:dyDescent="0.2">
      <c r="A622" t="s">
        <v>3</v>
      </c>
      <c r="B622">
        <v>36219328</v>
      </c>
    </row>
    <row r="623" spans="1:2" x14ac:dyDescent="0.2">
      <c r="A623" t="s">
        <v>3</v>
      </c>
      <c r="B623">
        <v>36463591</v>
      </c>
    </row>
    <row r="624" spans="1:2" x14ac:dyDescent="0.2">
      <c r="A624" t="s">
        <v>3</v>
      </c>
      <c r="B624">
        <v>36124685</v>
      </c>
    </row>
    <row r="625" spans="1:2" x14ac:dyDescent="0.2">
      <c r="A625" t="s">
        <v>3</v>
      </c>
      <c r="B625">
        <v>36701937</v>
      </c>
    </row>
    <row r="626" spans="1:2" x14ac:dyDescent="0.2">
      <c r="A626" t="s">
        <v>3</v>
      </c>
      <c r="B626">
        <v>36219328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DemultiplexingStats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Nianchao Qian</cp:lastModifiedBy>
  <dcterms:created xsi:type="dcterms:W3CDTF">2025-02-14T17:44:49Z</dcterms:created>
  <dcterms:modified xsi:type="dcterms:W3CDTF">2025-02-15T21:53:17Z</dcterms:modified>
</cp:coreProperties>
</file>